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fili/Desktop/"/>
    </mc:Choice>
  </mc:AlternateContent>
  <xr:revisionPtr revIDLastSave="0" documentId="13_ncr:1_{81D039DA-3E59-624F-B023-D655C8044471}" xr6:coauthVersionLast="45" xr6:coauthVersionMax="45" xr10:uidLastSave="{00000000-0000-0000-0000-000000000000}"/>
  <bookViews>
    <workbookView xWindow="0" yWindow="460" windowWidth="28800" windowHeight="16420" activeTab="4" xr2:uid="{00000000-000D-0000-FFFF-FFFF00000000}"/>
  </bookViews>
  <sheets>
    <sheet name="Summary" sheetId="2" r:id="rId1"/>
    <sheet name="OBC+WPT MB PCBA BOM" sheetId="1" r:id="rId2"/>
    <sheet name="IMN PCBA BOM" sheetId="4" r:id="rId3"/>
    <sheet name="PMU PCBA EE BOM" sheetId="5" r:id="rId4"/>
    <sheet name="PB PCBA EE BOM" sheetId="3" r:id="rId5"/>
  </sheets>
  <definedNames>
    <definedName name="_xlnm._FilterDatabase" localSheetId="1" hidden="1">'OBC+WPT MB PCBA BOM'!$A$1:$R$279</definedName>
    <definedName name="_xlnm._FilterDatabase" localSheetId="3" hidden="1">'PMU PCBA EE BOM'!$A$1:$N$1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2" i="4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279" i="1" l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69" i="1"/>
  <c r="J68" i="1"/>
  <c r="J67" i="1"/>
  <c r="J66" i="1"/>
  <c r="J65" i="1"/>
  <c r="J64" i="1"/>
  <c r="J63" i="1"/>
  <c r="J62" i="1"/>
  <c r="J61" i="1"/>
  <c r="J60" i="1"/>
  <c r="J59" i="1"/>
  <c r="J57" i="1"/>
  <c r="J56" i="1"/>
  <c r="J55" i="1"/>
  <c r="J54" i="1"/>
  <c r="J53" i="1"/>
  <c r="J52" i="1"/>
  <c r="J51" i="1"/>
  <c r="J50" i="1"/>
  <c r="J49" i="1"/>
  <c r="J48" i="1"/>
  <c r="J46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<sst xmlns="http://schemas.openxmlformats.org/spreadsheetml/2006/main" count="2984" uniqueCount="1662">
  <si>
    <t>列标签</t>
  </si>
  <si>
    <t>Closed</t>
  </si>
  <si>
    <t>On-going</t>
  </si>
  <si>
    <t>Open</t>
  </si>
  <si>
    <t>(空白)</t>
  </si>
  <si>
    <t>总计</t>
  </si>
  <si>
    <t>计数项:MPN</t>
  </si>
  <si>
    <t>Item</t>
  </si>
  <si>
    <t>ICT PN</t>
  </si>
  <si>
    <t>MPN</t>
  </si>
  <si>
    <t>Comment</t>
  </si>
  <si>
    <t>Description</t>
  </si>
  <si>
    <t>Designator</t>
  </si>
  <si>
    <t>Footprint</t>
  </si>
  <si>
    <t>Quantity</t>
  </si>
  <si>
    <t>Vendor</t>
  </si>
  <si>
    <t>生产用料量/pcs</t>
  </si>
  <si>
    <t>收到样品数量/pcs</t>
  </si>
  <si>
    <r>
      <rPr>
        <sz val="8"/>
        <color rgb="FF000000"/>
        <rFont val="宋体"/>
        <family val="3"/>
        <charset val="134"/>
      </rPr>
      <t>备料状态</t>
    </r>
  </si>
  <si>
    <t>交期</t>
  </si>
  <si>
    <t>Mark</t>
  </si>
  <si>
    <t>备注</t>
  </si>
  <si>
    <t>C42Q2225KBSC350</t>
  </si>
  <si>
    <t>X2,2.2uF,10%,305Vac</t>
  </si>
  <si>
    <t>Safety CAP,X2,2.2uF,10%,305Vac,W_32*H_25*T_13mm,P=27.5mm,d=0.8mm,DIP</t>
  </si>
  <si>
    <t>C100, C102, C105</t>
  </si>
  <si>
    <t>CBOX_31x10_8_P_27_5</t>
  </si>
  <si>
    <t>FARA</t>
  </si>
  <si>
    <r>
      <rPr>
        <sz val="8"/>
        <color rgb="FF000000"/>
        <rFont val="Segoe UI"/>
      </rPr>
      <t xml:space="preserve">KS ICT </t>
    </r>
    <r>
      <rPr>
        <sz val="8"/>
        <color rgb="FF000000"/>
        <rFont val="宋体"/>
        <family val="3"/>
        <charset val="134"/>
      </rPr>
      <t>已收到样品</t>
    </r>
  </si>
  <si>
    <t>C42Q2105KBSC350</t>
  </si>
  <si>
    <t>X2,1uF,10%,305VAC</t>
  </si>
  <si>
    <t>Safety CAP,X2,1uF,10%,305Vac,W_32*H_18*T_9mm,P=27.5mm,d=0.8mm,DIP</t>
  </si>
  <si>
    <t>C101</t>
  </si>
  <si>
    <t>13100-S050254H-00</t>
  </si>
  <si>
    <t>UMK105B7103KVHF</t>
  </si>
  <si>
    <t>10nF 50V 10% X7R 0402</t>
  </si>
  <si>
    <t>CAP CER 10nF 50V ±10% X7R 0402 SMD</t>
  </si>
  <si>
    <t>C103, C318, C319, C316, C613, C752, C963</t>
  </si>
  <si>
    <t>C0402</t>
  </si>
  <si>
    <t>TAIYO YUDEN</t>
  </si>
  <si>
    <t>13100-S050366H-00</t>
  </si>
  <si>
    <t>TMK316AB7106KLHT</t>
  </si>
  <si>
    <t>10uF 10% 25V X7R 1206</t>
  </si>
  <si>
    <t>CAP CER 10uF 10% 25V X7R 1206 SMD</t>
  </si>
  <si>
    <t>C104, C206, C209, C214, C218, C557, C558, C559, C560,C561,C822, C824, C827, C850, C929, C935, C941, C950, C952, C924,C932 ,</t>
  </si>
  <si>
    <t>C1206</t>
  </si>
  <si>
    <r>
      <rPr>
        <sz val="8"/>
        <color rgb="FF000000"/>
        <rFont val="Segoe UI"/>
      </rPr>
      <t xml:space="preserve">KS ICT </t>
    </r>
    <r>
      <rPr>
        <sz val="8"/>
        <color rgb="FF000000"/>
        <rFont val="宋体"/>
        <family val="3"/>
        <charset val="134"/>
      </rPr>
      <t>已收到样品，数量待确认</t>
    </r>
  </si>
  <si>
    <t>10uF/16V/1206</t>
  </si>
  <si>
    <t>CAP CER 10uF 10% 16V X7R 1206 SMD</t>
  </si>
  <si>
    <t>C944, C947</t>
  </si>
  <si>
    <t>有库存料</t>
  </si>
  <si>
    <t>UMK316BBJ106KL-T</t>
  </si>
  <si>
    <t>10uF 50V ±10% X5R 1206</t>
  </si>
  <si>
    <t>CAP CER 10uF 10% 50V X7R 1206 SMD</t>
  </si>
  <si>
    <t>已购入</t>
  </si>
  <si>
    <t>GCJ31CR73A103KXJ3L</t>
  </si>
  <si>
    <t>10nF 10% 1000V X7R 1206</t>
  </si>
  <si>
    <t>CAP CER 10nF 10% 1000V X7R 1206 SMD</t>
  </si>
  <si>
    <t>C200, C205</t>
  </si>
  <si>
    <r>
      <rPr>
        <sz val="8"/>
        <color rgb="FF000000"/>
        <rFont val="Segoe UI"/>
      </rPr>
      <t>muRata(</t>
    </r>
    <r>
      <rPr>
        <sz val="8"/>
        <color rgb="FF000000"/>
        <rFont val="宋体"/>
        <family val="3"/>
        <charset val="134"/>
      </rPr>
      <t>村田</t>
    </r>
    <r>
      <rPr>
        <sz val="8"/>
        <color rgb="FF000000"/>
        <rFont val="Segoe UI"/>
      </rPr>
      <t>)</t>
    </r>
  </si>
  <si>
    <t>TBD</t>
  </si>
  <si>
    <t>FS55X105K631EHG</t>
  </si>
  <si>
    <t>1uF 10% 630V X7R 2220</t>
  </si>
  <si>
    <t>CAP CER 1uF 10% 630V X7R 2220 SMD</t>
  </si>
  <si>
    <t>C201, C202, C221, C507, C508, C509, C510, C511, C512, C513, C514, C515, C516, C517, C518, C527, C528, C536, C537, C555, C556,C562,C563,C564,C565</t>
  </si>
  <si>
    <t>C2220</t>
  </si>
  <si>
    <r>
      <rPr>
        <sz val="8"/>
        <color rgb="FF000000"/>
        <rFont val="Segoe UI"/>
      </rPr>
      <t xml:space="preserve"> PSA(</t>
    </r>
    <r>
      <rPr>
        <sz val="8"/>
        <color rgb="FF000000"/>
        <rFont val="宋体"/>
        <family val="3"/>
        <charset val="134"/>
      </rPr>
      <t>信昌电陶</t>
    </r>
    <r>
      <rPr>
        <sz val="8"/>
        <color rgb="FF000000"/>
        <rFont val="Segoe UI"/>
      </rPr>
      <t xml:space="preserve">) </t>
    </r>
  </si>
  <si>
    <t>13100-S050099H-00</t>
  </si>
  <si>
    <t>UMK105B7104KVHF</t>
  </si>
  <si>
    <t>100nF 10% 50V X7R 0402</t>
  </si>
  <si>
    <t>CAP CER 100nF 50V ±10% X7R 0402 SMD</t>
  </si>
  <si>
    <t>C203, C210, C219, C222, C321, C322, C324, C614, C615, C717, C722, C723, C727, C732, C735, C740, C744, C745,C753, C754, C825, C829, C830, C831, C834, C837, C838, C839, C842, C843, C845, C846,C421, C427, C506, C530, C539, C542, C543, C547, C549, C551, C602, C603, C604, C607, C609, C610, C616, C940, C948, C949</t>
  </si>
  <si>
    <t>13100-S050186H-00</t>
  </si>
  <si>
    <t>1nF 10% 50V X7R 0402</t>
  </si>
  <si>
    <t>CAP CER 1nF 50V ±10% X7R 0402 SMD</t>
  </si>
  <si>
    <t>C204, C310, C311, C751, C847, C325, C525, C526, C531, C535, C601, C611, C612, C618, C625</t>
  </si>
  <si>
    <t>13100-S001422H-00</t>
  </si>
  <si>
    <t>GCM1555C1H331FA16D</t>
  </si>
  <si>
    <t>330pF 1% 50V NP0 0402</t>
  </si>
  <si>
    <t>CAP CER 330pF 50V 1% C0G/NP0 0402 AEC-Q200 SMD</t>
  </si>
  <si>
    <r>
      <rPr>
        <sz val="8"/>
        <color rgb="FF000000"/>
        <rFont val="Segoe UI"/>
      </rPr>
      <t>C207, C216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C208, C215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C700, C701, C708, C709</t>
    </r>
  </si>
  <si>
    <t>Murata</t>
  </si>
  <si>
    <t>0805B106K100NT</t>
  </si>
  <si>
    <t>10uF 10% 10V X7R 0805</t>
  </si>
  <si>
    <t>CAP CER 10uF 10% 10V X7R 0805 SMD</t>
  </si>
  <si>
    <t>C211, C220, C306, C307, C943, C951, C954, C955, C320, C323</t>
  </si>
  <si>
    <t>C0805</t>
  </si>
  <si>
    <r>
      <rPr>
        <sz val="8"/>
        <color rgb="FF000000"/>
        <rFont val="Segoe UI"/>
      </rPr>
      <t>FH(</t>
    </r>
    <r>
      <rPr>
        <sz val="8"/>
        <color rgb="FF000000"/>
        <rFont val="宋体"/>
        <family val="3"/>
        <charset val="134"/>
      </rPr>
      <t>风华</t>
    </r>
    <r>
      <rPr>
        <sz val="8"/>
        <color rgb="FF000000"/>
        <rFont val="Segoe UI"/>
      </rPr>
      <t xml:space="preserve">) </t>
    </r>
  </si>
  <si>
    <t>UMK105B7222KVHF</t>
  </si>
  <si>
    <t>2.2nF 50V ±10% X7R 0402</t>
  </si>
  <si>
    <t>CAP CER 2.2nF 50V ±10% X7R 0402 SMD</t>
  </si>
  <si>
    <t>C314, C873</t>
  </si>
  <si>
    <t>13100-S051057H-00</t>
  </si>
  <si>
    <t>UMK105CG101JVHF</t>
  </si>
  <si>
    <t>100pF 50V ±5% NPO 0402</t>
  </si>
  <si>
    <t>CAP CER 100pF 50V ±5% NPO 0402 SMD</t>
  </si>
  <si>
    <r>
      <rPr>
        <sz val="8"/>
        <color rgb="FF000000"/>
        <rFont val="Segoe UI"/>
      </rPr>
      <t>C315, C419, C420, C425, C426, C533, C534, C545, C546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C713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C835, C836, C841,C964</t>
    </r>
  </si>
  <si>
    <t>CC0603KRX7R8BB105</t>
  </si>
  <si>
    <t>1uF 10% 25V X7R 0603</t>
  </si>
  <si>
    <t>CAP CER 1uF 25V X7R 0603</t>
  </si>
  <si>
    <r>
      <rPr>
        <sz val="8"/>
        <color rgb="FF000000"/>
        <rFont val="Segoe UI"/>
      </rPr>
      <t>C317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C823, C832</t>
    </r>
  </si>
  <si>
    <t>C0603</t>
  </si>
  <si>
    <t>YAGEO</t>
  </si>
  <si>
    <t>GCM55D7U3A103JX01L</t>
  </si>
  <si>
    <t>10nF/1kV/U2J/2220</t>
  </si>
  <si>
    <t>CAP CER 10nF 5% 1KV U2J 2220 AEC-Q200 SMD</t>
  </si>
  <si>
    <t>C400, C403, C404, C405, C406, C409, C410, C411, C412, C413</t>
  </si>
  <si>
    <t>c2220</t>
  </si>
  <si>
    <r>
      <rPr>
        <sz val="8"/>
        <color rgb="FF000000"/>
        <rFont val="宋体"/>
        <family val="3"/>
        <charset val="134"/>
      </rPr>
      <t>ICT采购已下单300pcs，交期</t>
    </r>
    <r>
      <rPr>
        <sz val="8"/>
        <color rgb="FF000000"/>
        <rFont val="Segoe UI"/>
      </rPr>
      <t>TBD</t>
    </r>
  </si>
  <si>
    <t>AC0805KKX7R9BB224</t>
  </si>
  <si>
    <t>220nF 10% 25V X7R 0805</t>
  </si>
  <si>
    <t>CAP CER 0.22UF 10% 50V X7R 0805 SMD</t>
  </si>
  <si>
    <t>C401, C402, C414, C415, C500, C501, C520, C522</t>
  </si>
  <si>
    <t>UMK105B7472KVHF</t>
  </si>
  <si>
    <t>4.7nF 10% 50V X7R 0402</t>
  </si>
  <si>
    <t>CAP CER 4.7nF 50V ±10% X7R 0402 SMD</t>
  </si>
  <si>
    <r>
      <rPr>
        <sz val="8"/>
        <color rgb="FF000000"/>
        <rFont val="Segoe UI"/>
      </rPr>
      <t>C407, C408, C416, C417, C502, C503, C523, C524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C886</t>
    </r>
  </si>
  <si>
    <t>GRM21BZ71E106KE15L</t>
  </si>
  <si>
    <t>10uF 10% 25V X7R 0805</t>
  </si>
  <si>
    <t>GRM21BR61C106KE15L</t>
  </si>
  <si>
    <t>10uF/16V/0805</t>
  </si>
  <si>
    <t>C418,C423, C428, C532, C541, C544, C548, C550</t>
  </si>
  <si>
    <t>FV55X224K102EHG</t>
  </si>
  <si>
    <t>0.22uF/1000V/2220</t>
  </si>
  <si>
    <t>CAP CER 220nF 10% 1KV X7R 2220 SMD</t>
  </si>
  <si>
    <t>C504, C505</t>
  </si>
  <si>
    <r>
      <rPr>
        <sz val="8"/>
        <color rgb="FF000000"/>
        <rFont val="Segoe UI"/>
      </rPr>
      <t>PSA(</t>
    </r>
    <r>
      <rPr>
        <sz val="8"/>
        <color rgb="FF000000"/>
        <rFont val="宋体"/>
        <family val="3"/>
        <charset val="134"/>
      </rPr>
      <t>信昌电陶</t>
    </r>
    <r>
      <rPr>
        <sz val="8"/>
        <color rgb="FF000000"/>
        <rFont val="Segoe UI"/>
      </rPr>
      <t xml:space="preserve">) </t>
    </r>
  </si>
  <si>
    <t>AHF2GM121M35OT</t>
  </si>
  <si>
    <t>120uF 20% 400V D18*35</t>
  </si>
  <si>
    <t>CAP AL 120uF 20% 400V 870mA/120HZ 10000H D18*35mm DIP</t>
  </si>
  <si>
    <t>C519, C521</t>
  </si>
  <si>
    <t>ECAP_D18_H50_P7.5</t>
  </si>
  <si>
    <r>
      <rPr>
        <sz val="8"/>
        <color rgb="FF000000"/>
        <rFont val="Segoe UI"/>
      </rPr>
      <t>AiShi(</t>
    </r>
    <r>
      <rPr>
        <sz val="8"/>
        <color rgb="FF000000"/>
        <rFont val="宋体"/>
        <family val="3"/>
        <charset val="134"/>
      </rPr>
      <t>艾华</t>
    </r>
    <r>
      <rPr>
        <sz val="8"/>
        <color rgb="FF000000"/>
        <rFont val="Segoe UI"/>
      </rPr>
      <t>)</t>
    </r>
  </si>
  <si>
    <t>Free sample 20pcs</t>
  </si>
  <si>
    <t/>
  </si>
  <si>
    <t>KF222M016G200A</t>
  </si>
  <si>
    <t>2200uF 16V</t>
  </si>
  <si>
    <t>CAP AL 2200uF 20% 16V 0.045ohm 1.62A -40°C to +105°C D10*20mm DIP</t>
  </si>
  <si>
    <t>C552</t>
  </si>
  <si>
    <t>ECAP_D10_H25_P5</t>
  </si>
  <si>
    <r>
      <rPr>
        <sz val="8"/>
        <color rgb="FF000000"/>
        <rFont val="Segoe UI"/>
      </rPr>
      <t>CapXon(</t>
    </r>
    <r>
      <rPr>
        <sz val="8"/>
        <color rgb="FF000000"/>
        <rFont val="宋体"/>
        <family val="3"/>
        <charset val="134"/>
      </rPr>
      <t>丰宾</t>
    </r>
    <r>
      <rPr>
        <sz val="8"/>
        <color rgb="FF000000"/>
        <rFont val="Segoe UI"/>
      </rPr>
      <t xml:space="preserve">) </t>
    </r>
  </si>
  <si>
    <t>EMK212AB7475KGHT</t>
  </si>
  <si>
    <t>4.7uF 10% 16V X7R 0805</t>
  </si>
  <si>
    <t>CAP CER 4.7uF 16V ±10%  X7R 0805 SMD</t>
  </si>
  <si>
    <t>C600, C628, C629, C637, C647, C872, C874, C875, C876, C877, C883, C885</t>
  </si>
  <si>
    <t>AC0402JRNPO9BN220</t>
  </si>
  <si>
    <t>22pF 5% 50V NP0 0402</t>
  </si>
  <si>
    <t>CAP CER 22pF 5% 50V NP0 0402 SMD</t>
  </si>
  <si>
    <t xml:space="preserve"> C605,C606, C608, C840, C848, C849, C858, C859, C937</t>
  </si>
  <si>
    <t>UMK107B7103KAHT</t>
  </si>
  <si>
    <t>10nF 10% 50V X7R 0603</t>
  </si>
  <si>
    <t>CAP CER 10nF 10% 50V X7R 0603 SMD</t>
  </si>
  <si>
    <t>C626</t>
  </si>
  <si>
    <t>2.2uF 6.3V ±10% X7R 0603</t>
  </si>
  <si>
    <t>CAP CER 2.2uF 6.3V ±10% X7R 0603 SMD</t>
  </si>
  <si>
    <t>C627, C630, C631, C632, C633, C634</t>
  </si>
  <si>
    <t>13100-S002171H-00</t>
  </si>
  <si>
    <t>10pF 50V±5% C0G  0402</t>
  </si>
  <si>
    <t>CAP CER 10pF 50V±5% C0G 0402 SMD</t>
  </si>
  <si>
    <t>C635, C636, C865, C867</t>
  </si>
  <si>
    <t>MURATA</t>
  </si>
  <si>
    <t xml:space="preserve">CC0603KRX7R9BB104 </t>
  </si>
  <si>
    <t>100nF 10% 50V X7R 0603</t>
  </si>
  <si>
    <t>CAP CER 100nF 10% 50V X7R 0603 SMD</t>
  </si>
  <si>
    <t>C638, C639, C640, C641, C642, C643, C644, C645, C646, C826, C853, C854, C855, C857, C860, C862, C863, C864, C866, C871, C878, C879, C880, C881, C882, C890, C891, C892, C893, C895, C897, C898, C900, C902, C903, C904, C957, C958, C959, C960, C961, C962, C930, C936</t>
  </si>
  <si>
    <t>CC0402JRX7R9BB104</t>
  </si>
  <si>
    <t>0.1uF 50V 5% X7R 0402</t>
  </si>
  <si>
    <t>CAP CER 0.1uF 50V 5% X7R 0402 SMD</t>
  </si>
  <si>
    <t>C702, C724</t>
  </si>
  <si>
    <t>0.1uF 50V 10% X7R 0603</t>
  </si>
  <si>
    <t>CAP CER 0.1uF 50V 10% X7R 0603 SMD</t>
  </si>
  <si>
    <r>
      <rPr>
        <sz val="8"/>
        <color rgb="FF000000"/>
        <rFont val="Segoe UI"/>
      </rPr>
      <t>C703, C718, C747, C907, C914, C915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C802, C805, C917, C918, C921, C922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C939</t>
    </r>
  </si>
  <si>
    <t>SAMSUNG</t>
  </si>
  <si>
    <t>13100-S020796H-00</t>
  </si>
  <si>
    <t>AC0603KRX7R9BB103</t>
  </si>
  <si>
    <t>0.01uF 50V 10% 0603</t>
  </si>
  <si>
    <t>CAP CER 0.01uF 50V 10% X7R 0603 AEC-Q200 SMD</t>
  </si>
  <si>
    <t>C704</t>
  </si>
  <si>
    <r>
      <rPr>
        <sz val="8"/>
        <color rgb="FF000000"/>
        <rFont val="Segoe UI"/>
      </rPr>
      <t>WIC001</t>
    </r>
    <r>
      <rPr>
        <sz val="8"/>
        <color rgb="FF000000"/>
        <rFont val="宋体"/>
        <family val="3"/>
        <charset val="134"/>
      </rPr>
      <t>共用料</t>
    </r>
    <r>
      <rPr>
        <sz val="8"/>
        <color rgb="FF000000"/>
        <rFont val="Segoe UI"/>
      </rPr>
      <t>,</t>
    </r>
    <r>
      <rPr>
        <sz val="8"/>
        <color rgb="FF000000"/>
        <rFont val="宋体"/>
        <family val="3"/>
        <charset val="134"/>
      </rPr>
      <t>待确认挪用数量</t>
    </r>
  </si>
  <si>
    <t>CC0402KRX7R9BB104</t>
  </si>
  <si>
    <t>0.1uF 50V 10% X7R 0402</t>
  </si>
  <si>
    <t>CAP CER 0.1uF 50V 10% X7R 0402 SMD</t>
  </si>
  <si>
    <r>
      <rPr>
        <sz val="8"/>
        <color rgb="FF000000"/>
        <rFont val="Segoe UI"/>
      </rPr>
      <t>C705, C706, C711, C725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C714</t>
    </r>
  </si>
  <si>
    <t>CC0402KRX7R9BB103</t>
  </si>
  <si>
    <t>0.01uF 50V 10% X7R 0402</t>
  </si>
  <si>
    <t>CAP CER 0.01uF 50V 10% X7R 0402 SMD</t>
  </si>
  <si>
    <t>C707, C726, C715</t>
  </si>
  <si>
    <r>
      <rPr>
        <sz val="8"/>
        <color rgb="FF000000"/>
        <rFont val="Segoe UI"/>
      </rPr>
      <t>YAGEO(</t>
    </r>
    <r>
      <rPr>
        <sz val="8"/>
        <color rgb="FF000000"/>
        <rFont val="宋体"/>
        <family val="3"/>
        <charset val="134"/>
      </rPr>
      <t>国巨</t>
    </r>
    <r>
      <rPr>
        <sz val="8"/>
        <color rgb="FF000000"/>
        <rFont val="Segoe UI"/>
      </rPr>
      <t>)</t>
    </r>
  </si>
  <si>
    <t>13100-S020823H-00</t>
  </si>
  <si>
    <t>CC0402FRNPO9BN151</t>
  </si>
  <si>
    <t>150pF 50V 1% 0402</t>
  </si>
  <si>
    <t>CAP CER 150pF 50V 1% C0G/NP0 AEC-Q200 0402 SMD</t>
  </si>
  <si>
    <t>C710</t>
  </si>
  <si>
    <t>13100-S010200H-00</t>
  </si>
  <si>
    <t>CL10A225KA8NNNC</t>
  </si>
  <si>
    <t>2.2uF 25V 10% 0603</t>
  </si>
  <si>
    <t>CAP CER 2.2uF 25V 10% X5R 0603 SMD</t>
  </si>
  <si>
    <t>C712, C803, C804, C806, C807, C908</t>
  </si>
  <si>
    <t>Samsung</t>
  </si>
  <si>
    <t>13100-S050289H-00</t>
  </si>
  <si>
    <t>UMK105CG270JVHF</t>
  </si>
  <si>
    <t>27pF 50V±5% C0G  0402</t>
  </si>
  <si>
    <t>CAP CER 27pF 50V±5% C0G  0402 SMD</t>
  </si>
  <si>
    <t>C716</t>
  </si>
  <si>
    <t>13100-S001447H-00</t>
  </si>
  <si>
    <t>GCM155R72A102JA37D</t>
  </si>
  <si>
    <t>1000pF 100V 5% 0402</t>
  </si>
  <si>
    <t>CAP CER 1000pF 100V 5% X7R 0402 AEC-Q200 SMD</t>
  </si>
  <si>
    <t>C720, C730, C733, C737, C741, C748, C749</t>
  </si>
  <si>
    <r>
      <rPr>
        <sz val="8"/>
        <color rgb="FF000000"/>
        <rFont val="Segoe UI"/>
      </rPr>
      <t>WIC001</t>
    </r>
    <r>
      <rPr>
        <sz val="8"/>
        <color rgb="FF000000"/>
        <rFont val="宋体"/>
        <family val="3"/>
        <charset val="134"/>
      </rPr>
      <t>共用料</t>
    </r>
    <r>
      <rPr>
        <sz val="8"/>
        <color rgb="FF000000"/>
        <rFont val="Segoe UI"/>
      </rPr>
      <t xml:space="preserve">, </t>
    </r>
    <r>
      <rPr>
        <sz val="8"/>
        <color rgb="FF000000"/>
        <rFont val="宋体"/>
        <family val="3"/>
        <charset val="134"/>
      </rPr>
      <t>待确认挪用数量</t>
    </r>
  </si>
  <si>
    <t>13100-S050265H-00</t>
  </si>
  <si>
    <t>UMK105CG471JVHF</t>
  </si>
  <si>
    <t>470pF 50V 5% 0402</t>
  </si>
  <si>
    <t>CAP CER 470pF 50V 5% C0G/NP0 0402 AEC-Q200 SMD</t>
  </si>
  <si>
    <t>C721, C811, C820</t>
  </si>
  <si>
    <t>Taiyo</t>
  </si>
  <si>
    <t>closed</t>
  </si>
  <si>
    <t>13100-S001489H-00</t>
  </si>
  <si>
    <t>GRM155R71H162JA01D</t>
  </si>
  <si>
    <t>1600pF 50V 5% 0402</t>
  </si>
  <si>
    <t>CAP CER 1600pF 50V 5% X7R 0402 AEC-Q200 SMD</t>
  </si>
  <si>
    <t>C728, C738</t>
  </si>
  <si>
    <t>KS ICT 已收到样品</t>
  </si>
  <si>
    <t>13100-S050283H-00</t>
  </si>
  <si>
    <t>UMK105CG200JVHF</t>
  </si>
  <si>
    <t>CAP CER 20pF 50V 5% C0G/NP0 0402 AEC-Q200 SMD</t>
  </si>
  <si>
    <t>C729, C736, C743, C750</t>
  </si>
  <si>
    <t>13100-S011048H-00</t>
  </si>
  <si>
    <t>CL21A106KBYQNNE</t>
  </si>
  <si>
    <t>CAP CER 10uF 35V 10% X5R 0805 SMD</t>
  </si>
  <si>
    <t>C731, C734, C739, C742, C746, C906, C911, C912, C913,</t>
  </si>
  <si>
    <t>CL21A106KPFNNNE</t>
  </si>
  <si>
    <t>10uF 10V 10% 0805</t>
  </si>
  <si>
    <t xml:space="preserve"> C719</t>
  </si>
  <si>
    <t>13100-S0S0124H-00</t>
  </si>
  <si>
    <t>C0603C471GAGAC7867</t>
  </si>
  <si>
    <t>CAP CER 470pF 250V 1% C0G/NP0 0603 SMD</t>
  </si>
  <si>
    <t>C800, C801, C815, C816</t>
  </si>
  <si>
    <t>KEMET</t>
  </si>
  <si>
    <r>
      <rPr>
        <sz val="8"/>
        <color rgb="FF000000"/>
        <rFont val="Segoe UI"/>
      </rPr>
      <t>WIC001</t>
    </r>
    <r>
      <rPr>
        <sz val="8"/>
        <color rgb="FF000000"/>
        <rFont val="宋体"/>
        <family val="3"/>
        <charset val="134"/>
      </rPr>
      <t>共用料，待确认挪用数量</t>
    </r>
  </si>
  <si>
    <t>91pF/250V/1%C0G/NP0 0603 SMD</t>
  </si>
  <si>
    <t>C808, C809, C817, C818</t>
  </si>
  <si>
    <t>13100-S001421H-00</t>
  </si>
  <si>
    <t>GCM1555C1H221GA16D</t>
  </si>
  <si>
    <t>CAP CER 220pF 50V 2% C0G/NPO 0402 SMD</t>
  </si>
  <si>
    <t>C812, C813, C844</t>
  </si>
  <si>
    <t>CAP CER 220nF 50V ±10% X7S 0603</t>
  </si>
  <si>
    <t>C821, C828</t>
  </si>
  <si>
    <t>GRM155R61H224KE01D</t>
  </si>
  <si>
    <t>220nF 10% 50V X7R 0402</t>
  </si>
  <si>
    <t>CAP CER 0.22uF 10% 50V X5R 0402</t>
  </si>
  <si>
    <t>C833</t>
  </si>
  <si>
    <t>CGA3E3X7R1H474KT000N</t>
  </si>
  <si>
    <t>470nF 10% 50V X7R 0603</t>
  </si>
  <si>
    <t>CAP CER 470nF 10% 50V X7R 0603 SMD</t>
  </si>
  <si>
    <t>C861, C901</t>
  </si>
  <si>
    <t>TDK</t>
  </si>
  <si>
    <t>13100-S002094H-00</t>
  </si>
  <si>
    <t>CAP CER 12pF 50V ±5% C0G/NPO 0402 SMD</t>
  </si>
  <si>
    <t>C868, C869</t>
  </si>
  <si>
    <r>
      <rPr>
        <sz val="8"/>
        <color rgb="FF000000"/>
        <rFont val="宋体"/>
        <family val="3"/>
        <charset val="134"/>
      </rPr>
      <t>ICT采购已下单，交期</t>
    </r>
    <r>
      <rPr>
        <sz val="8"/>
        <color rgb="FF000000"/>
        <rFont val="Segoe UI"/>
      </rPr>
      <t>TBD</t>
    </r>
  </si>
  <si>
    <t>13100-S050232H-00</t>
  </si>
  <si>
    <t>CAP CER 1uF 50V ±10% X7R 0805 SMD</t>
  </si>
  <si>
    <r>
      <rPr>
        <sz val="8"/>
        <color rgb="FF000000"/>
        <rFont val="Segoe UI"/>
      </rPr>
      <t>C884, C894, C896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C212, C217</t>
    </r>
  </si>
  <si>
    <t>13100-S020239H-00</t>
  </si>
  <si>
    <t>CAP CER 680nF 50V 10% X7R 0805 SMD</t>
  </si>
  <si>
    <t>C887, C888, C889</t>
  </si>
  <si>
    <r>
      <rPr>
        <sz val="8"/>
        <color rgb="FF000000"/>
        <rFont val="Segoe UI"/>
      </rPr>
      <t>KS ICT</t>
    </r>
    <r>
      <rPr>
        <sz val="8"/>
        <color rgb="FF000000"/>
        <rFont val="宋体"/>
        <family val="3"/>
        <charset val="134"/>
      </rPr>
      <t>已收到样品</t>
    </r>
  </si>
  <si>
    <t>UMK105CG181JVHF</t>
  </si>
  <si>
    <t>CAP CER 180pF 50V±0.5 C0G 0402 SMD</t>
  </si>
  <si>
    <t>C899</t>
  </si>
  <si>
    <t>13100-S001388H-00</t>
  </si>
  <si>
    <t>GRM31CR61A476KE15L</t>
  </si>
  <si>
    <t>47uF 10V 10% 1206</t>
  </si>
  <si>
    <t>CAP CER 47uF 10V 10% X5R 1206 SMD</t>
  </si>
  <si>
    <t>C905, C910</t>
  </si>
  <si>
    <t>13100-S010497H-00</t>
  </si>
  <si>
    <t>4.7uF/25V/0805</t>
  </si>
  <si>
    <t>CAP CER 4.7uF 50V 10% X7S 0805 SMD</t>
  </si>
  <si>
    <r>
      <rPr>
        <sz val="8"/>
        <color rgb="FF000000"/>
        <rFont val="Segoe UI"/>
      </rPr>
      <t>C213, C553, C554, C942, C946</t>
    </r>
    <r>
      <rPr>
        <sz val="8"/>
        <color rgb="FF000000"/>
        <rFont val="宋体"/>
        <family val="3"/>
        <charset val="134"/>
      </rPr>
      <t>，</t>
    </r>
  </si>
  <si>
    <t>0805B475K500NT</t>
  </si>
  <si>
    <t>4.7uF/50V/0805</t>
  </si>
  <si>
    <t>C909, C916</t>
  </si>
  <si>
    <t xml:space="preserve">FH(风华) </t>
  </si>
  <si>
    <t>CC0805KRX7R9BB472</t>
  </si>
  <si>
    <t>4.7nF/250V/0805</t>
  </si>
  <si>
    <t>CAP CER 4700PF 10% 50V X7R 0805</t>
  </si>
  <si>
    <r>
      <rPr>
        <sz val="8"/>
        <color rgb="FF000000"/>
        <rFont val="Segoe UI"/>
      </rPr>
      <t>C923, C931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C928</t>
    </r>
  </si>
  <si>
    <t>1206B472K102NT</t>
  </si>
  <si>
    <t>4.7nF/1000V</t>
  </si>
  <si>
    <t>CAP CER 4.7nF 10% 1KV X7R 1206</t>
  </si>
  <si>
    <t>C925</t>
  </si>
  <si>
    <t>EEEFKE151XSP</t>
  </si>
  <si>
    <t>150uF 25V</t>
  </si>
  <si>
    <t>CAP AL 150uF 20% 25V 280mA 340mohm D6.3xL7.7mm SMD</t>
  </si>
  <si>
    <t>C926, C934</t>
  </si>
  <si>
    <t>CE_D6_3_L7_7_MVY</t>
  </si>
  <si>
    <r>
      <rPr>
        <sz val="8"/>
        <color rgb="FF000000"/>
        <rFont val="Segoe UI"/>
      </rPr>
      <t>PANASONIC(</t>
    </r>
    <r>
      <rPr>
        <sz val="8"/>
        <color rgb="FF000000"/>
        <rFont val="宋体"/>
        <family val="3"/>
        <charset val="134"/>
      </rPr>
      <t>松下</t>
    </r>
    <r>
      <rPr>
        <sz val="8"/>
        <color rgb="FF000000"/>
        <rFont val="Segoe UI"/>
      </rPr>
      <t xml:space="preserve">) </t>
    </r>
  </si>
  <si>
    <t>EEEFK1H330XP</t>
  </si>
  <si>
    <t>33uF 25V 20%</t>
  </si>
  <si>
    <t>CAP AL 33uF 20% 50V 146.3mA D6.3xL7.7mm SMD</t>
  </si>
  <si>
    <t>C927, C933</t>
  </si>
  <si>
    <t>CC0402JRNPO9BN470</t>
  </si>
  <si>
    <t>47pF 5% 50V NP0 0402</t>
  </si>
  <si>
    <t>CAP CER 47pF 5% 50V NP0 0402 SMD</t>
  </si>
  <si>
    <t>C945, C953</t>
  </si>
  <si>
    <r>
      <rPr>
        <sz val="8"/>
        <color rgb="FF000000"/>
        <rFont val="宋体"/>
        <family val="3"/>
        <charset val="134"/>
      </rPr>
      <t>连接器，待规格确定后，再备料</t>
    </r>
  </si>
  <si>
    <t>Connector 1</t>
  </si>
  <si>
    <t>Header, 1-Pin</t>
  </si>
  <si>
    <t>CN100, CN101</t>
  </si>
  <si>
    <r>
      <rPr>
        <sz val="8"/>
        <color rgb="FF000000"/>
        <rFont val="等线"/>
        <family val="4"/>
        <charset val="134"/>
      </rPr>
      <t>端子</t>
    </r>
    <r>
      <rPr>
        <sz val="8"/>
        <color rgb="FF000000"/>
        <rFont val="Segoe UI"/>
      </rPr>
      <t>10x8x16</t>
    </r>
  </si>
  <si>
    <t>CN102, CN103, CN507, CN508</t>
  </si>
  <si>
    <t>Wire_2.5_Hook</t>
  </si>
  <si>
    <t>CN104, CN105, CN201, CN504, CN505</t>
  </si>
  <si>
    <t>CON_4</t>
  </si>
  <si>
    <t>CN200</t>
  </si>
  <si>
    <t>CON_4-7*5</t>
  </si>
  <si>
    <t>CN500, CN501, CN502, CN503</t>
  </si>
  <si>
    <t>CN-M4-45A</t>
  </si>
  <si>
    <t>TBP1000-2P</t>
  </si>
  <si>
    <r>
      <rPr>
        <sz val="8"/>
        <color rgb="FF000000"/>
        <rFont val="等线"/>
        <family val="4"/>
        <charset val="134"/>
      </rPr>
      <t>公头</t>
    </r>
    <r>
      <rPr>
        <sz val="8"/>
        <color rgb="FF000000"/>
        <rFont val="Segoe UI"/>
      </rPr>
      <t xml:space="preserve"> </t>
    </r>
    <r>
      <rPr>
        <sz val="8"/>
        <color rgb="FF000000"/>
        <rFont val="等线"/>
        <family val="4"/>
        <charset val="134"/>
      </rPr>
      <t>立式</t>
    </r>
    <r>
      <rPr>
        <sz val="8"/>
        <color rgb="FF000000"/>
        <rFont val="Segoe UI"/>
      </rPr>
      <t xml:space="preserve"> 2Pin 2.5mm THT</t>
    </r>
  </si>
  <si>
    <t>CN506</t>
  </si>
  <si>
    <t>CON_TB1000_00_2P</t>
  </si>
  <si>
    <t>HY_2MM_1*2P_90MOLEX01</t>
  </si>
  <si>
    <t>CN800</t>
  </si>
  <si>
    <t>CN6-PIN2</t>
  </si>
  <si>
    <t>CN801</t>
  </si>
  <si>
    <t>J_P2MM_2*6</t>
  </si>
  <si>
    <t>HY_2MM_1*4P_90MOLEX01</t>
  </si>
  <si>
    <t>CN803</t>
  </si>
  <si>
    <t>CN2PRO - DingZhen-2.54mm</t>
  </si>
  <si>
    <t>DE1E3KX222MA4BP01F</t>
  </si>
  <si>
    <t>2.2nF/250Vac/Y1</t>
  </si>
  <si>
    <t>X1,Y1 2.2nF 20% 300Vac D9.0*7.0mm F=10mm DIP</t>
  </si>
  <si>
    <t>CY100, CY101, CY102, CY104, CY105, CY106</t>
  </si>
  <si>
    <t>C_DISK_7.5- D14</t>
  </si>
  <si>
    <r>
      <rPr>
        <sz val="8"/>
        <color rgb="FF000000"/>
        <rFont val="Segoe UI"/>
      </rPr>
      <t>muRata(</t>
    </r>
    <r>
      <rPr>
        <sz val="8"/>
        <color rgb="FF000000"/>
        <rFont val="Arial Regular"/>
      </rPr>
      <t>村田</t>
    </r>
    <r>
      <rPr>
        <sz val="8"/>
        <color rgb="FF000000"/>
        <rFont val="Segoe UI"/>
      </rPr>
      <t xml:space="preserve">) </t>
    </r>
  </si>
  <si>
    <t>DE2E3KY472MA3BM02F</t>
  </si>
  <si>
    <t>4.7nF/250Vac/Y2</t>
  </si>
  <si>
    <t>X1,Y2 4.7nF 20% Y2 250Vac D10*5.0mm F=7.5mm DIP</t>
  </si>
  <si>
    <t>CY103</t>
  </si>
  <si>
    <t>C_DISK_8_0S</t>
  </si>
  <si>
    <r>
      <rPr>
        <sz val="8"/>
        <color rgb="FF000000"/>
        <rFont val="Segoe UI"/>
      </rPr>
      <t>muRata(</t>
    </r>
    <r>
      <rPr>
        <sz val="8"/>
        <color rgb="FF000000"/>
        <rFont val="宋体"/>
        <family val="3"/>
        <charset val="134"/>
      </rPr>
      <t>村田</t>
    </r>
    <r>
      <rPr>
        <sz val="8"/>
        <color rgb="FF000000"/>
        <rFont val="Segoe UI"/>
      </rPr>
      <t xml:space="preserve">) </t>
    </r>
  </si>
  <si>
    <t>DE2F3KY103MA3BM02F</t>
  </si>
  <si>
    <t>10nF/250Vac/Y2</t>
  </si>
  <si>
    <t>X1,Y2 10nF 20% Y2 250Vac D14*5.0mm F=7.5mm DIP</t>
  </si>
  <si>
    <t>CY400, CY401</t>
  </si>
  <si>
    <t>DE2E3KY222MA3BM02F</t>
  </si>
  <si>
    <t>2.2nF/250Vac/Y2</t>
  </si>
  <si>
    <t>X1,Y2 2.2nF 20% Y2 250Vac D8.0*5.0mm F=7.5mm DIP</t>
  </si>
  <si>
    <t>CY500, CY501, CY502, CY503, CY504, CY505</t>
  </si>
  <si>
    <t>1N4148W</t>
  </si>
  <si>
    <t>DIODE SW 75V 150mA 400mW SOD123</t>
  </si>
  <si>
    <t>D100</t>
  </si>
  <si>
    <t>D_SOD123</t>
  </si>
  <si>
    <r>
      <rPr>
        <sz val="8"/>
        <color rgb="FF000000"/>
        <rFont val="Segoe UI"/>
      </rPr>
      <t>YANGJIE(</t>
    </r>
    <r>
      <rPr>
        <sz val="8"/>
        <color rgb="FF000000"/>
        <rFont val="宋体"/>
        <family val="3"/>
        <charset val="134"/>
      </rPr>
      <t>扬杰</t>
    </r>
    <r>
      <rPr>
        <sz val="8"/>
        <color rgb="FF000000"/>
        <rFont val="Segoe UI"/>
      </rPr>
      <t>)</t>
    </r>
  </si>
  <si>
    <t>PMEG4010BEA-QX</t>
  </si>
  <si>
    <t>DIODE SCHOTTKY 40V 1A AEC-Q101 SOD-323</t>
  </si>
  <si>
    <t>D200, D201, D203, D205, D206, D207, D209, D211, D212, D213, D214, D215</t>
  </si>
  <si>
    <t>D_SOD323</t>
  </si>
  <si>
    <t>Nexperia</t>
  </si>
  <si>
    <t>S8KC-13</t>
  </si>
  <si>
    <t>DIODE 800V 8A DO-214AB(SMC)</t>
  </si>
  <si>
    <t>D202, D208, D500</t>
  </si>
  <si>
    <t>D_SMC</t>
  </si>
  <si>
    <r>
      <rPr>
        <sz val="8"/>
        <color rgb="FF000000"/>
        <rFont val="Segoe UI"/>
      </rPr>
      <t>DIODES(</t>
    </r>
    <r>
      <rPr>
        <sz val="8"/>
        <color rgb="FF000000"/>
        <rFont val="宋体"/>
        <family val="3"/>
        <charset val="134"/>
      </rPr>
      <t>美台</t>
    </r>
    <r>
      <rPr>
        <sz val="8"/>
        <color rgb="FF000000"/>
        <rFont val="Segoe UI"/>
      </rPr>
      <t>)</t>
    </r>
  </si>
  <si>
    <t>ES1J-LTP</t>
  </si>
  <si>
    <t>DIODE Super Fast Recovery Rectifier 600V 1A 35nS DO-214AC</t>
  </si>
  <si>
    <t>D204, D210, D404, D405, D511, D516</t>
  </si>
  <si>
    <t>DO-214AC</t>
  </si>
  <si>
    <r>
      <rPr>
        <sz val="8"/>
        <color rgb="FF000000"/>
        <rFont val="Segoe UI"/>
      </rPr>
      <t>MCC(</t>
    </r>
    <r>
      <rPr>
        <sz val="8"/>
        <color rgb="FF000000"/>
        <rFont val="宋体"/>
        <family val="3"/>
        <charset val="134"/>
      </rPr>
      <t>美微科</t>
    </r>
    <r>
      <rPr>
        <sz val="8"/>
        <color rgb="FF000000"/>
        <rFont val="Segoe UI"/>
      </rPr>
      <t>)</t>
    </r>
  </si>
  <si>
    <t>BAS516-TP</t>
  </si>
  <si>
    <t>DIODE GEN PURP 100V 250mA SOD523</t>
  </si>
  <si>
    <t>D300, D600, D601, D602, D900, D907, D910, D911, D804, D805, D806, D807, D808, D812, D813</t>
  </si>
  <si>
    <t>D_SOD-523_SC-79</t>
  </si>
  <si>
    <t>1PS79SB40,115</t>
  </si>
  <si>
    <t>DIODE SCHOTTKY 40V 120mA AEC-Q101 SOD523</t>
  </si>
  <si>
    <r>
      <rPr>
        <sz val="8"/>
        <color rgb="FF000000"/>
        <rFont val="Segoe UI"/>
      </rPr>
      <t>D400, D401, D402, D403, D501, D502, D505, D506, D518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D802, D803, D811</t>
    </r>
  </si>
  <si>
    <t>1330A-S010003H-00</t>
  </si>
  <si>
    <t>1N4148WSQ-7-F</t>
  </si>
  <si>
    <t>DIODE,1N4148WSQ-7-F,75V,150mA, SOD-323</t>
  </si>
  <si>
    <t>DIODE SW 75V 150mA 4ns SOD-323 SMD</t>
  </si>
  <si>
    <t>D503, D504, D507, D508, D509</t>
  </si>
  <si>
    <t>DIODES</t>
  </si>
  <si>
    <t>PMEG4030ER,115</t>
  </si>
  <si>
    <t>DIODE SCHOTTKY 40V 3A SOD123W</t>
  </si>
  <si>
    <t>D519</t>
  </si>
  <si>
    <t>PMEG2010BELD</t>
  </si>
  <si>
    <t>20V 1A</t>
  </si>
  <si>
    <t>DIODE SBD 20V 1A SOD-882D AEC-Q101</t>
  </si>
  <si>
    <t>D700, D701</t>
  </si>
  <si>
    <t>SOD-882D</t>
  </si>
  <si>
    <t>NXP</t>
  </si>
  <si>
    <t>SP1545L</t>
  </si>
  <si>
    <r>
      <rPr>
        <sz val="8"/>
        <color rgb="FF000000"/>
        <rFont val="Segoe UI"/>
      </rPr>
      <t>SP1545L/TO277/</t>
    </r>
    <r>
      <rPr>
        <sz val="8"/>
        <color rgb="FF000000"/>
        <rFont val="宋体"/>
        <family val="3"/>
        <charset val="134"/>
      </rPr>
      <t>江苏长电</t>
    </r>
  </si>
  <si>
    <t>DIODE Schottky 45V 15A TO-277 SMD</t>
  </si>
  <si>
    <t>D800</t>
  </si>
  <si>
    <t>D_TO277</t>
  </si>
  <si>
    <r>
      <rPr>
        <sz val="8"/>
        <color rgb="FF000000"/>
        <rFont val="Segoe UI"/>
      </rPr>
      <t>CJ(</t>
    </r>
    <r>
      <rPr>
        <sz val="8"/>
        <color rgb="FF000000"/>
        <rFont val="宋体"/>
        <family val="3"/>
        <charset val="134"/>
      </rPr>
      <t>江苏长电</t>
    </r>
    <r>
      <rPr>
        <sz val="8"/>
        <color rgb="FF000000"/>
        <rFont val="Segoe UI"/>
      </rPr>
      <t>/</t>
    </r>
    <r>
      <rPr>
        <sz val="8"/>
        <color rgb="FF000000"/>
        <rFont val="宋体"/>
        <family val="3"/>
        <charset val="134"/>
      </rPr>
      <t>长晶</t>
    </r>
    <r>
      <rPr>
        <sz val="8"/>
        <color rgb="FF000000"/>
        <rFont val="Segoe UI"/>
      </rPr>
      <t xml:space="preserve">) </t>
    </r>
  </si>
  <si>
    <t>PMEG4010CEAX</t>
  </si>
  <si>
    <r>
      <rPr>
        <sz val="8"/>
        <color rgb="FF000000"/>
        <rFont val="Segoe UI"/>
      </rPr>
      <t>PMEG4010CEAX</t>
    </r>
    <r>
      <rPr>
        <sz val="8"/>
        <color rgb="FFFF0000"/>
        <rFont val="宋体"/>
        <family val="3"/>
        <charset val="134"/>
      </rPr>
      <t>（</t>
    </r>
    <r>
      <rPr>
        <sz val="8"/>
        <color rgb="FFFF0000"/>
        <rFont val="Segoe UI"/>
      </rPr>
      <t>PMEG4010BEA)</t>
    </r>
  </si>
  <si>
    <t>DIODE SCHOTTKY 40V 1A SOD323</t>
  </si>
  <si>
    <t>D801, D814</t>
  </si>
  <si>
    <t>BAT54ST-7-F</t>
  </si>
  <si>
    <t>BAT54ST</t>
  </si>
  <si>
    <t>DIODE ARRAY SCHOTTKY 30V 200mA SOT523</t>
  </si>
  <si>
    <t>D809, D810</t>
  </si>
  <si>
    <t>D_SOT-523</t>
  </si>
  <si>
    <t>Diodes</t>
  </si>
  <si>
    <t>NUP2105LT1G</t>
  </si>
  <si>
    <t>TVS DIODE 24VWM 44V 8A 350W SOT23</t>
  </si>
  <si>
    <t>D815, D816</t>
  </si>
  <si>
    <t>D_SOT-23</t>
  </si>
  <si>
    <t>onsemi</t>
  </si>
  <si>
    <t>ES1J</t>
  </si>
  <si>
    <t>DIODE Super Fast Recovery Rectifier 600V 1A 35nS  DO-214AC(SMA)</t>
  </si>
  <si>
    <t>D901, D903, D905</t>
  </si>
  <si>
    <r>
      <rPr>
        <sz val="8"/>
        <color rgb="FF000000"/>
        <rFont val="Segoe UI"/>
      </rPr>
      <t>YANGJIE(</t>
    </r>
    <r>
      <rPr>
        <sz val="8"/>
        <color rgb="FF000000"/>
        <rFont val="宋体"/>
        <family val="3"/>
        <charset val="134"/>
      </rPr>
      <t>扬杰</t>
    </r>
    <r>
      <rPr>
        <sz val="8"/>
        <color rgb="FF000000"/>
        <rFont val="Segoe UI"/>
      </rPr>
      <t xml:space="preserve">) </t>
    </r>
  </si>
  <si>
    <t>1SMA4744H</t>
  </si>
  <si>
    <t>1SMA4744A</t>
  </si>
  <si>
    <t xml:space="preserve">DIODE ZENER 15V 1.25W AEC-Q101 DO-214AC(SMA) </t>
  </si>
  <si>
    <t>D902, D906</t>
  </si>
  <si>
    <t>Taiwan Semiconductor Corporation</t>
  </si>
  <si>
    <t>RS1K-13-F</t>
  </si>
  <si>
    <t>DIODE Fast Recovery Rectifier 800V 1A 500ns SMA</t>
  </si>
  <si>
    <t>D904</t>
  </si>
  <si>
    <t>BAV21WS</t>
  </si>
  <si>
    <t>DIODE GEN PURP 250V 200mA 250mW SOD323</t>
  </si>
  <si>
    <t>D908, D909</t>
  </si>
  <si>
    <t>B140-E3</t>
  </si>
  <si>
    <t>DIODE,SCHOTTKY,40V,1A,DO-214AC,SMD</t>
  </si>
  <si>
    <r>
      <rPr>
        <sz val="8"/>
        <color rgb="FF000000"/>
        <rFont val="Segoe UI"/>
      </rPr>
      <t>D912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D913</t>
    </r>
  </si>
  <si>
    <r>
      <rPr>
        <sz val="8"/>
        <color rgb="FF000000"/>
        <rFont val="Segoe UI"/>
      </rPr>
      <t>Vishay(</t>
    </r>
    <r>
      <rPr>
        <sz val="8"/>
        <color rgb="FF000000"/>
        <rFont val="宋体"/>
        <family val="3"/>
        <charset val="134"/>
      </rPr>
      <t>威世</t>
    </r>
    <r>
      <rPr>
        <sz val="8"/>
        <color rgb="FF000000"/>
        <rFont val="Segoe UI"/>
      </rPr>
      <t>)</t>
    </r>
  </si>
  <si>
    <t>ALT2WM561R45KTZP</t>
  </si>
  <si>
    <t>560uF/450V</t>
  </si>
  <si>
    <t>CAP AL 560uF 20% 450V φ_35mm*L_45mm -40℃～+105℃ 5000H@105°C AEC-Q200</t>
  </si>
  <si>
    <t>EC200, EC201, EC202, EC203</t>
  </si>
  <si>
    <t>Ecap_D35(e1)_H25</t>
  </si>
  <si>
    <t xml:space="preserve">Free sample 25pcs </t>
  </si>
  <si>
    <t>UDA-A 025</t>
  </si>
  <si>
    <r>
      <rPr>
        <sz val="8"/>
        <color rgb="FF000000"/>
        <rFont val="Segoe UI"/>
      </rPr>
      <t>UDA-A 25A 250V</t>
    </r>
    <r>
      <rPr>
        <sz val="8"/>
        <color rgb="FF000000"/>
        <rFont val="宋体"/>
        <family val="3"/>
        <charset val="134"/>
      </rPr>
      <t>（功德）</t>
    </r>
  </si>
  <si>
    <t>FUSE,BOX TYPE,Time-Lag Fuse,25A,250Vac,0.0018ohm,UDA-A</t>
  </si>
  <si>
    <t>F100, F101</t>
  </si>
  <si>
    <t>Fuse-5.0-N_Vertical</t>
  </si>
  <si>
    <r>
      <rPr>
        <sz val="8"/>
        <color rgb="FF000000"/>
        <rFont val="宋体"/>
        <family val="3"/>
        <charset val="134"/>
      </rPr>
      <t>功德</t>
    </r>
  </si>
  <si>
    <t>待购入</t>
  </si>
  <si>
    <t>BLM18KG221SH1D</t>
  </si>
  <si>
    <r>
      <t>Ferrite Bead 220Ω±25</t>
    </r>
    <r>
      <rPr>
        <sz val="8"/>
        <color rgb="FF000000"/>
        <rFont val="等线"/>
        <family val="4"/>
        <charset val="134"/>
      </rPr>
      <t>％</t>
    </r>
    <r>
      <rPr>
        <sz val="8"/>
        <color rgb="FF000000"/>
        <rFont val="Segoe UI"/>
      </rPr>
      <t>@100MHz 2.2A 0.05Ω AEC-Q200 0603</t>
    </r>
  </si>
  <si>
    <t>F301, F600, F601, F800</t>
  </si>
  <si>
    <t>R0603</t>
  </si>
  <si>
    <t>GZ2012D601TF</t>
  </si>
  <si>
    <r>
      <t xml:space="preserve">600Ω@100MHz </t>
    </r>
    <r>
      <rPr>
        <sz val="8"/>
        <color rgb="FF000000"/>
        <rFont val="宋体"/>
        <family val="3"/>
        <charset val="134"/>
      </rPr>
      <t>误差：</t>
    </r>
    <r>
      <rPr>
        <sz val="8"/>
        <color rgb="FF000000"/>
        <rFont val="Segoe UI"/>
      </rPr>
      <t xml:space="preserve">±25% </t>
    </r>
    <r>
      <rPr>
        <sz val="8"/>
        <color rgb="FF000000"/>
        <rFont val="宋体"/>
        <family val="3"/>
        <charset val="134"/>
      </rPr>
      <t>直流电阻</t>
    </r>
    <r>
      <rPr>
        <sz val="8"/>
        <color rgb="FF000000"/>
        <rFont val="Segoe UI"/>
      </rPr>
      <t>(RDC)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</rPr>
      <t>300mΩ</t>
    </r>
  </si>
  <si>
    <t>F500, F501, F900</t>
  </si>
  <si>
    <t>R0805</t>
  </si>
  <si>
    <t>H600, H800</t>
  </si>
  <si>
    <t>HDR-SMD_14P-P1.27-V-M-R2-C7-LS5.3</t>
  </si>
  <si>
    <t>Aces</t>
  </si>
  <si>
    <r>
      <rPr>
        <sz val="8"/>
        <color rgb="FF000000"/>
        <rFont val="宋体"/>
        <family val="3"/>
        <charset val="134"/>
      </rPr>
      <t>已备料</t>
    </r>
  </si>
  <si>
    <r>
      <rPr>
        <sz val="8"/>
        <color rgb="FF000000"/>
        <rFont val="Segoe UI"/>
      </rPr>
      <t>SI8238BD</t>
    </r>
    <r>
      <rPr>
        <sz val="8"/>
        <color rgb="FF000000"/>
        <rFont val="宋体"/>
        <family val="3"/>
        <charset val="134"/>
      </rPr>
      <t>‐</t>
    </r>
    <r>
      <rPr>
        <sz val="8"/>
        <color rgb="FF000000"/>
        <rFont val="Segoe UI"/>
      </rPr>
      <t>D</t>
    </r>
    <r>
      <rPr>
        <sz val="8"/>
        <color rgb="FF000000"/>
        <rFont val="宋体"/>
        <family val="3"/>
        <charset val="134"/>
      </rPr>
      <t>‐</t>
    </r>
    <r>
      <rPr>
        <sz val="8"/>
        <color rgb="FF000000"/>
        <rFont val="Segoe UI"/>
      </rPr>
      <t>IS</t>
    </r>
  </si>
  <si>
    <t>DGTL ISO 5KV 2CH GATE DVR 16-SOIC</t>
  </si>
  <si>
    <t>IC200, IC201, IC400, IC401, IC500, IC501</t>
  </si>
  <si>
    <t>SOIC_W_16</t>
  </si>
  <si>
    <t>Skyworks Solutions Inc</t>
  </si>
  <si>
    <t>JWH7917SOTA#TRPBF</t>
  </si>
  <si>
    <t>IC, Low-Side Gate Driver ,Single-Channel, 4A High-Speed, SOT23-5</t>
  </si>
  <si>
    <t>IC502, IC503</t>
  </si>
  <si>
    <t>SOT23-5</t>
  </si>
  <si>
    <t>JoulWatt</t>
  </si>
  <si>
    <t>OPA365AQDBVRQ1</t>
  </si>
  <si>
    <t>IC OPAMP GP 1 CIRCUIT AEC-Q100 SOT23-5</t>
  </si>
  <si>
    <t>IC800</t>
  </si>
  <si>
    <t>Texas Instruments</t>
  </si>
  <si>
    <t>AO-10/4J-K3/2</t>
  </si>
  <si>
    <t>JL400</t>
  </si>
  <si>
    <t>南京备料，待确认交期</t>
  </si>
  <si>
    <r>
      <rPr>
        <sz val="8"/>
        <color theme="1"/>
        <rFont val="宋体"/>
        <family val="3"/>
        <charset val="134"/>
      </rPr>
      <t>待夏工给出具体规格及规格书</t>
    </r>
  </si>
  <si>
    <r>
      <rPr>
        <sz val="8"/>
        <color rgb="FF000000"/>
        <rFont val="等线"/>
        <family val="4"/>
        <charset val="134"/>
      </rPr>
      <t>立式</t>
    </r>
    <r>
      <rPr>
        <sz val="8"/>
        <color rgb="FF000000"/>
        <rFont val="Segoe UI"/>
      </rPr>
      <t xml:space="preserve"> PCB</t>
    </r>
    <r>
      <rPr>
        <sz val="8"/>
        <color rgb="FF000000"/>
        <rFont val="等线"/>
        <family val="4"/>
        <charset val="134"/>
      </rPr>
      <t>端子</t>
    </r>
    <r>
      <rPr>
        <sz val="8"/>
        <color rgb="FF000000"/>
        <rFont val="Segoe UI"/>
      </rPr>
      <t xml:space="preserve">8.5*6.5*13mm </t>
    </r>
    <r>
      <rPr>
        <sz val="8"/>
        <color rgb="FF000000"/>
        <rFont val="等线"/>
        <family val="4"/>
        <charset val="134"/>
      </rPr>
      <t>螺孔</t>
    </r>
    <r>
      <rPr>
        <sz val="8"/>
        <color rgb="FF000000"/>
        <rFont val="Segoe UI"/>
      </rPr>
      <t xml:space="preserve">M3 </t>
    </r>
    <r>
      <rPr>
        <sz val="8"/>
        <color rgb="FF000000"/>
        <rFont val="等线"/>
        <family val="4"/>
        <charset val="134"/>
      </rPr>
      <t>黄铜</t>
    </r>
  </si>
  <si>
    <t>JL401</t>
  </si>
  <si>
    <t>207XT-1AH1-F-C</t>
  </si>
  <si>
    <t>RELAY 1A(SPNO) 32A 277VAC 12VDC</t>
  </si>
  <si>
    <t>K100, K500</t>
  </si>
  <si>
    <t>RELAY_110E</t>
  </si>
  <si>
    <r>
      <rPr>
        <sz val="8"/>
        <color rgb="FF000000"/>
        <rFont val="宋体"/>
        <family val="3"/>
        <charset val="134"/>
      </rPr>
      <t>松川</t>
    </r>
  </si>
  <si>
    <t>13703-DN10001H-00</t>
  </si>
  <si>
    <t>J115F11CH12VDCS61.5</t>
  </si>
  <si>
    <t>RELAY, SPDT, J115F11CH12VDCS61.5, DC12, HF</t>
  </si>
  <si>
    <t>K501, K502</t>
  </si>
  <si>
    <t>J115F11C</t>
  </si>
  <si>
    <t>CIT</t>
  </si>
  <si>
    <t>通知PM备料16pcs，交期待确认</t>
  </si>
  <si>
    <t>J115F11AH12VDCS61.5</t>
  </si>
  <si>
    <t>RELAY,50A 240VAC, J115F11AH12VDCS61.5, DC12, HF</t>
  </si>
  <si>
    <t>K503, K504</t>
  </si>
  <si>
    <t>J115F11A</t>
  </si>
  <si>
    <r>
      <rPr>
        <sz val="8"/>
        <color theme="1"/>
        <rFont val="宋体"/>
        <family val="3"/>
        <charset val="134"/>
      </rPr>
      <t>定制料</t>
    </r>
  </si>
  <si>
    <r>
      <rPr>
        <sz val="8"/>
        <color rgb="FF000000"/>
        <rFont val="Segoe UI"/>
      </rPr>
      <t xml:space="preserve">PFC_CHOKE </t>
    </r>
    <r>
      <rPr>
        <sz val="8"/>
        <color rgb="FF000000"/>
        <rFont val="等线"/>
        <family val="4"/>
        <charset val="134"/>
      </rPr>
      <t>铂科</t>
    </r>
    <r>
      <rPr>
        <sz val="8"/>
        <color rgb="FF000000"/>
        <rFont val="Segoe UI"/>
      </rPr>
      <t>EQH5032-60  0.1*400</t>
    </r>
    <r>
      <rPr>
        <sz val="8"/>
        <color rgb="FF000000"/>
        <rFont val="等线"/>
        <family val="4"/>
        <charset val="134"/>
      </rPr>
      <t>线</t>
    </r>
    <r>
      <rPr>
        <sz val="8"/>
        <color rgb="FF000000"/>
        <rFont val="Segoe UI"/>
      </rPr>
      <t xml:space="preserve"> 40</t>
    </r>
    <r>
      <rPr>
        <sz val="8"/>
        <color rgb="FF000000"/>
        <rFont val="等线"/>
        <family val="4"/>
        <charset val="134"/>
      </rPr>
      <t>圈</t>
    </r>
  </si>
  <si>
    <t>Inductor</t>
  </si>
  <si>
    <t>L200</t>
  </si>
  <si>
    <r>
      <rPr>
        <sz val="8"/>
        <color rgb="FF000000"/>
        <rFont val="Segoe UI"/>
      </rPr>
      <t xml:space="preserve">EQ5032-60 </t>
    </r>
    <r>
      <rPr>
        <sz val="8"/>
        <color rgb="FF000000"/>
        <rFont val="等线"/>
        <family val="4"/>
        <charset val="134"/>
      </rPr>
      <t>立式</t>
    </r>
  </si>
  <si>
    <t>8uH/R12x40/10Ts</t>
  </si>
  <si>
    <t>Inductor rod type</t>
  </si>
  <si>
    <t>L500</t>
  </si>
  <si>
    <t>R10*35.5</t>
  </si>
  <si>
    <t>ACM12V-701-2PL-TL00</t>
  </si>
  <si>
    <t xml:space="preserve">CMC 7.6uH 8A 700Ω@100MHz 6mΩ </t>
  </si>
  <si>
    <t>L802</t>
  </si>
  <si>
    <t>SWPA252010S3R3MT</t>
  </si>
  <si>
    <t>IND 3.3uH ±20%  328mOHM 900mA Isat=1.05A 2.5mm*2.0mm*1.0mm SMD</t>
  </si>
  <si>
    <t>L900, L901</t>
  </si>
  <si>
    <t>SWPA252010S</t>
  </si>
  <si>
    <t>Sunlord</t>
  </si>
  <si>
    <t>SWPA5020S3R3MT</t>
  </si>
  <si>
    <t>IND 3.3uH ±20% 0.056OHM 2.5A 5.0mm*5.0mm*2.0mm SMD</t>
  </si>
  <si>
    <t>L902</t>
  </si>
  <si>
    <t>IND-SMD_L5.0-W5.0</t>
  </si>
  <si>
    <t>TLMG1100-GS08</t>
  </si>
  <si>
    <t>LED GREEN 2.1V 0603 AEC-Q101 SMD</t>
  </si>
  <si>
    <t>LED600,LED700, LED800, LED801, LED802, LED803</t>
  </si>
  <si>
    <t>LED_0603</t>
  </si>
  <si>
    <t>Vishay</t>
  </si>
  <si>
    <r>
      <rPr>
        <sz val="8"/>
        <color rgb="FF000000"/>
        <rFont val="等线"/>
        <family val="4"/>
        <charset val="134"/>
      </rPr>
      <t>定制磁件</t>
    </r>
  </si>
  <si>
    <t>LF100, LF101, LF500, LF501</t>
  </si>
  <si>
    <t>L_31*19*15_C</t>
  </si>
  <si>
    <t>CS</t>
  </si>
  <si>
    <t>current transformer</t>
  </si>
  <si>
    <t>LF200, LF201</t>
  </si>
  <si>
    <t>GATE DRIVER EE5_0</t>
  </si>
  <si>
    <t>ACT45B-510-2P-TL003</t>
  </si>
  <si>
    <t>CMC 51uH 200mA 2LN 2.8KOHM@10MHz 4.5mm*3.2mm*3.0mm AEC-Q200 SMD</t>
  </si>
  <si>
    <t>LF800, LF801, LF802, LF803, LF804, LF805, LF806, LF807, LF808, LF809, LF810, LF811, LF812, LF813</t>
  </si>
  <si>
    <t>L_4.5*3.2*2.8</t>
  </si>
  <si>
    <t>030-D001-0034</t>
  </si>
  <si>
    <t>1909763-1</t>
  </si>
  <si>
    <t>Connector, Receptacle, U.FL,  RF/Coaxial, Gold, 50 ohm Jack, DC-6GHZ</t>
  </si>
  <si>
    <t>P802</t>
  </si>
  <si>
    <t>TE_1909763-1</t>
  </si>
  <si>
    <t>TE Connectivity</t>
  </si>
  <si>
    <t>RHP020N06T100</t>
  </si>
  <si>
    <t>MOSFET N-CH 60V 2A 200mohm SOT89</t>
  </si>
  <si>
    <t>Q100</t>
  </si>
  <si>
    <t>SOT89_MI</t>
  </si>
  <si>
    <t>Rohm</t>
  </si>
  <si>
    <t>AIKW50N65RF5</t>
  </si>
  <si>
    <t>Q200, Q202, Q203, Q205</t>
  </si>
  <si>
    <t>Q_TO-247_TH _1</t>
  </si>
  <si>
    <t>SRC60R022B</t>
  </si>
  <si>
    <t>N MOS FET</t>
  </si>
  <si>
    <t>Q201, Q204</t>
  </si>
  <si>
    <t>BAV99W</t>
  </si>
  <si>
    <t>BAV99WQ-7-F</t>
  </si>
  <si>
    <t>DIODE SW 75V 150mA 200mW AEC-Q101 SOD323</t>
  </si>
  <si>
    <t>Q206, Q207, Q208, Q209</t>
  </si>
  <si>
    <t>SOT323 - 2</t>
  </si>
  <si>
    <t>BAV99T-TP</t>
  </si>
  <si>
    <t>DIODE ARRAY GP 85V 75mA SOT523</t>
  </si>
  <si>
    <t>Q300, Q301, Q509, Q510, Q600, Q601</t>
  </si>
  <si>
    <t>Micro Commercial Co</t>
  </si>
  <si>
    <t>IPW65R048CFDA</t>
  </si>
  <si>
    <t>Q400, Q401, Q404, Q405</t>
  </si>
  <si>
    <t>另外15pcs样品 待确认交期</t>
  </si>
  <si>
    <t>PMV30XPEAR</t>
  </si>
  <si>
    <t>MOSFET P-CH 20V 4.5A TO236AB AEC-Q101</t>
  </si>
  <si>
    <t>Q402, Q403, Q406, Q407, Q502, Q503, Q507, Q508</t>
  </si>
  <si>
    <t>IPW65R022CFD7A</t>
  </si>
  <si>
    <t>Q500, Q501, Q505, Q506</t>
  </si>
  <si>
    <t>2V7002KT1G</t>
  </si>
  <si>
    <t>MOSFET N-Channel, 60V,380mA, AEC-Q101,SOT-23</t>
  </si>
  <si>
    <t>Q504, Q511, Q512, Q513, Q514, Q700</t>
  </si>
  <si>
    <t>Q_SOT23 - 2</t>
  </si>
  <si>
    <r>
      <rPr>
        <sz val="8"/>
        <color rgb="FF000000"/>
        <rFont val="Segoe UI"/>
      </rPr>
      <t>onsemi(</t>
    </r>
    <r>
      <rPr>
        <sz val="8"/>
        <color rgb="FF000000"/>
        <rFont val="宋体"/>
        <family val="3"/>
        <charset val="134"/>
      </rPr>
      <t>安森美</t>
    </r>
    <r>
      <rPr>
        <sz val="8"/>
        <color rgb="FF000000"/>
        <rFont val="Segoe UI"/>
      </rPr>
      <t>)</t>
    </r>
  </si>
  <si>
    <t>SMMBT3904LT1G</t>
  </si>
  <si>
    <t xml:space="preserve">TRANS NPN 40V 0.2A 300mW SOT23-3  AEC−Q101 </t>
  </si>
  <si>
    <t>Q701, Q702</t>
  </si>
  <si>
    <t>SOT-23-3</t>
  </si>
  <si>
    <t>NX3008NBKW,115</t>
  </si>
  <si>
    <t>MOSFET N-Channel 30V 350mA SOT-323-3</t>
  </si>
  <si>
    <t>Q800, Q801, Q802, Q803, Q804, Q805</t>
  </si>
  <si>
    <t>SOT323</t>
  </si>
  <si>
    <t>YJG80GP06B</t>
  </si>
  <si>
    <r>
      <t xml:space="preserve">MOSFET P-Channel -60V -80A 8.5mΩ </t>
    </r>
    <r>
      <rPr>
        <sz val="8"/>
        <color rgb="FFFF0000"/>
        <rFont val="Segoe UI"/>
      </rPr>
      <t>PDFN5060</t>
    </r>
  </si>
  <si>
    <t>Q806</t>
  </si>
  <si>
    <t>Q_PG_TDSON_8</t>
  </si>
  <si>
    <t>Yangjie</t>
  </si>
  <si>
    <t>DMP3099L-13</t>
  </si>
  <si>
    <t>MOSFET P-CH -30V -3.8A SOT23</t>
  </si>
  <si>
    <t>Q807</t>
  </si>
  <si>
    <t>PMST4403,115</t>
  </si>
  <si>
    <t>TRANS PNP 40V 0.6A 200mW SOT323 AEC-Q101</t>
  </si>
  <si>
    <r>
      <rPr>
        <sz val="8"/>
        <color rgb="FF000000"/>
        <rFont val="Segoe UI"/>
      </rPr>
      <t>Q808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Q820</t>
    </r>
  </si>
  <si>
    <t>Q_SOT323 - 2</t>
  </si>
  <si>
    <t>2N7002BKW,115</t>
  </si>
  <si>
    <t>MOSFET N-CH 60V 310mA 275mW SOT323 AEC-Q101</t>
  </si>
  <si>
    <t>Q809, Q810, Q811, Q812, Q813, Q815, Q816, Q817, Q818, Q821, Q822</t>
  </si>
  <si>
    <t>PMST4401,115</t>
  </si>
  <si>
    <t>TRANS NPN 40V 0.6A 200mW SOT323 AEC-Q101</t>
  </si>
  <si>
    <t>Q814, Q819</t>
  </si>
  <si>
    <r>
      <rPr>
        <sz val="8"/>
        <color rgb="FF000000"/>
        <rFont val="Segoe UI"/>
      </rPr>
      <t>NJVMJD31CT4G--------&gt;Nexperia\ MJD31CA(</t>
    </r>
    <r>
      <rPr>
        <sz val="8"/>
        <color rgb="FF000000"/>
        <rFont val="宋体"/>
        <family val="3"/>
        <charset val="134"/>
      </rPr>
      <t>采购推荐替代料</t>
    </r>
    <r>
      <rPr>
        <sz val="8"/>
        <color rgb="FF000000"/>
        <rFont val="Segoe UI"/>
      </rPr>
      <t>)</t>
    </r>
  </si>
  <si>
    <t>TR NPN 100V 3A AEC-Q101 TO-252-2(DPAK)</t>
  </si>
  <si>
    <t>Q823</t>
  </si>
  <si>
    <t>TO-252-2_L6.6-W6.1-P4.57-LS9.9-BR-CW</t>
  </si>
  <si>
    <r>
      <rPr>
        <sz val="8"/>
        <color rgb="FF000000"/>
        <rFont val="Segoe UI"/>
      </rPr>
      <t xml:space="preserve">ICT  </t>
    </r>
    <r>
      <rPr>
        <sz val="8"/>
        <color rgb="FF000000"/>
        <rFont val="宋体"/>
        <family val="3"/>
        <charset val="134"/>
      </rPr>
      <t>收到</t>
    </r>
    <r>
      <rPr>
        <sz val="8"/>
        <color rgb="FF000000"/>
        <rFont val="Segoe UI"/>
      </rPr>
      <t xml:space="preserve"> Nexperia\ MJD31CA</t>
    </r>
  </si>
  <si>
    <t>BSS138BKW,115</t>
  </si>
  <si>
    <t>MOSFET N-Channel 60V 320mA SOT-323 AEC-Q101</t>
  </si>
  <si>
    <t>Q824</t>
  </si>
  <si>
    <t>JMSH1003AG</t>
  </si>
  <si>
    <t>MOSFET N-Channel 100V 144A 2.8mΩ PDFN5x6-8L</t>
  </si>
  <si>
    <t>Q900</t>
  </si>
  <si>
    <r>
      <rPr>
        <sz val="8"/>
        <color rgb="FF000000"/>
        <rFont val="Segoe UI"/>
      </rPr>
      <t>JJM(</t>
    </r>
    <r>
      <rPr>
        <sz val="8"/>
        <color rgb="FF000000"/>
        <rFont val="宋体"/>
        <family val="3"/>
        <charset val="134"/>
      </rPr>
      <t>捷捷微</t>
    </r>
    <r>
      <rPr>
        <sz val="8"/>
        <color rgb="FF000000"/>
        <rFont val="Segoe UI"/>
      </rPr>
      <t>)</t>
    </r>
  </si>
  <si>
    <t>RWU07F120R0</t>
  </si>
  <si>
    <t>RES Wire-wound 120OHM 5% 7W DIP</t>
  </si>
  <si>
    <t>R100, R101, R500</t>
  </si>
  <si>
    <t>R7W-N</t>
  </si>
  <si>
    <t>MFR-25FTE52-33R</t>
  </si>
  <si>
    <t>33R/dip-1/4w</t>
  </si>
  <si>
    <t xml:space="preserve">RES Metal Film 33OHM 1% 1/4W DIP </t>
  </si>
  <si>
    <t>R102</t>
  </si>
  <si>
    <t>R1/4W</t>
  </si>
  <si>
    <t>MFR-25FTE52-330K</t>
  </si>
  <si>
    <t>330K/dip-1/4w</t>
  </si>
  <si>
    <t xml:space="preserve">RES Metal Film 330KOHM 1% 1/4W DIP </t>
  </si>
  <si>
    <t>R103, R104, R107, R108</t>
  </si>
  <si>
    <t>13000-S170079H-00</t>
  </si>
  <si>
    <t>RMC1/16SK100FTH</t>
  </si>
  <si>
    <t>10R 1% 1/10W 0402</t>
  </si>
  <si>
    <t>RES Thick Film 10R 1% 1/10W 0402 SMD</t>
  </si>
  <si>
    <t>R105, R505, R632, R633, R634, R645, R646, R647, R648, R649, R650, R651, R652, R653, R732, R734, R746, R753, R756, R759, R762, R764, R791, R794, R795, R796, R797, R798, R799, R1004, R1005, R1006,R1028,R1029,R223, R513, R518, R525, R532</t>
  </si>
  <si>
    <t>R0402</t>
  </si>
  <si>
    <t>KAMAYA</t>
  </si>
  <si>
    <t>13000-S002415H-00</t>
  </si>
  <si>
    <t>AC0402FR-0710KL</t>
  </si>
  <si>
    <t>10K 1/16W 1% 0402</t>
  </si>
  <si>
    <t>RES Thick Film 10K 1/16W 1% 0402 SMD</t>
  </si>
  <si>
    <t>R106, R201, R203, R206, R209, R211, R212, R215, R324, R506, R516, R520, R543, R555, R602, R603, R609, R611, R617, R619, R620, R621, R625, R628, R629, R631, R742, R771, R773, R785, R867, R868, R874, R880, R883, R897, R901, R902, R905, R910, R911,R1015,R711, R745, R747, R750, R751, R752, R761, R763, R765, R769, R776, R778, R789, R790, R803, R804, R814, R823, R830, R919, R920, R921, R922, R923, R924, R925, R942, R943, R957, R958, R960, R961, R962</t>
  </si>
  <si>
    <r>
      <rPr>
        <sz val="8"/>
        <color rgb="FF000000"/>
        <rFont val="Segoe UI"/>
      </rPr>
      <t xml:space="preserve">KS ICT </t>
    </r>
    <r>
      <rPr>
        <sz val="8"/>
        <color rgb="FF000000"/>
        <rFont val="宋体"/>
        <family val="3"/>
        <charset val="134"/>
      </rPr>
      <t>已收到样品</t>
    </r>
    <r>
      <rPr>
        <sz val="8"/>
        <color rgb="FF000000"/>
        <rFont val="Segoe UI"/>
      </rPr>
      <t xml:space="preserve">, </t>
    </r>
    <r>
      <rPr>
        <sz val="8"/>
        <color rgb="FF000000"/>
        <rFont val="宋体"/>
        <family val="3"/>
        <charset val="134"/>
      </rPr>
      <t>待确认数量</t>
    </r>
  </si>
  <si>
    <t>AC1206FR-07392KL</t>
  </si>
  <si>
    <t>392K 1% 1/4W 1206</t>
  </si>
  <si>
    <t>RES Thick Film 392K 1% 1/4W 1206 SMD</t>
  </si>
  <si>
    <t>R109, R110, R111, R112, R113, R114, R549, R550, R551, R554, R557, R558, R601, R604, R606, R607, R608, R612, R613, R614, R616, R618</t>
  </si>
  <si>
    <t>R1206</t>
  </si>
  <si>
    <r>
      <rPr>
        <sz val="8"/>
        <color rgb="FF000000"/>
        <rFont val="Segoe UI"/>
      </rPr>
      <t>YAGEO(</t>
    </r>
    <r>
      <rPr>
        <sz val="8"/>
        <color rgb="FF000000"/>
        <rFont val="宋体"/>
        <family val="3"/>
        <charset val="134"/>
      </rPr>
      <t>国巨</t>
    </r>
    <r>
      <rPr>
        <sz val="8"/>
        <color rgb="FF000000"/>
        <rFont val="Segoe UI"/>
      </rPr>
      <t xml:space="preserve">) </t>
    </r>
  </si>
  <si>
    <t>AC0805FR-7W10RL</t>
  </si>
  <si>
    <t>10R 1% 1/4W 1206</t>
  </si>
  <si>
    <t>RES Thick Film 10R 1% 1/4W 1206 SMD</t>
  </si>
  <si>
    <r>
      <rPr>
        <sz val="8"/>
        <color rgb="FF000000"/>
        <rFont val="Segoe UI"/>
      </rPr>
      <t>R200, R202, R204, R207, R208, R214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R971</t>
    </r>
  </si>
  <si>
    <t>400R/RXM0309</t>
  </si>
  <si>
    <t>RESISTOR</t>
  </si>
  <si>
    <t>R205, R210</t>
  </si>
  <si>
    <t>RXM0309</t>
  </si>
  <si>
    <t>13000-S170013H-00</t>
  </si>
  <si>
    <t>RMC1/16SK203FTH</t>
  </si>
  <si>
    <t>20K 1% 1/16W 0402</t>
  </si>
  <si>
    <t>RES Thick Film 20K 1% 1/16W 0402 SMD</t>
  </si>
  <si>
    <t>R213, R844, R848, R849, R851, R865, R869</t>
  </si>
  <si>
    <t>AC0402FR-07390RL</t>
  </si>
  <si>
    <t>390R 1% 1/16W 0402</t>
  </si>
  <si>
    <t>RES Thick Film 390R 1% 1/16W 0402 SMD</t>
  </si>
  <si>
    <t>R216, R217, R224, R226, R408, R409, R414, R415, R523, R524, R544, R545</t>
  </si>
  <si>
    <t>AC0402FR-073K92L</t>
  </si>
  <si>
    <t>3.92K 1% 1/16W 0402</t>
  </si>
  <si>
    <t>RES Thick Film 3.92K 1% 1/16W 0402 SMD</t>
  </si>
  <si>
    <t>R219, R220, R227, R228, R410, R411, R416, R417, R530, R531, R546, R547</t>
  </si>
  <si>
    <t>0805W8F510KT5E</t>
  </si>
  <si>
    <t>5R1 1% 1/8W 0805</t>
  </si>
  <si>
    <t>RES Thick Film 5R1 1% 1/8W 0805 SMD</t>
  </si>
  <si>
    <t>R221, R229</t>
  </si>
  <si>
    <r>
      <rPr>
        <sz val="8"/>
        <color rgb="FF000000"/>
        <rFont val="Segoe UI"/>
      </rPr>
      <t>UNI-ROYAL(</t>
    </r>
    <r>
      <rPr>
        <sz val="8"/>
        <color rgb="FF000000"/>
        <rFont val="宋体"/>
        <family val="3"/>
        <charset val="134"/>
      </rPr>
      <t>厚声</t>
    </r>
    <r>
      <rPr>
        <sz val="8"/>
        <color rgb="FF000000"/>
        <rFont val="Segoe UI"/>
      </rPr>
      <t>)</t>
    </r>
  </si>
  <si>
    <t>AC0805FR-072RL</t>
  </si>
  <si>
    <t>2R 1% 1/4W 0805</t>
  </si>
  <si>
    <t>RES Thick Film 2R 1% 1/4W 0805 SMD</t>
  </si>
  <si>
    <t>R222, R230</t>
  </si>
  <si>
    <t>RC0805FR-0710KL</t>
  </si>
  <si>
    <t>10K 1% 1/8W 0805</t>
  </si>
  <si>
    <t>RES Thick Film 10K 1% 1/8W 0805 SMD</t>
  </si>
  <si>
    <t>R225, R231</t>
  </si>
  <si>
    <t>13000-S170046H-00</t>
  </si>
  <si>
    <t>RMC1/16SK101FTH</t>
  </si>
  <si>
    <t>100R 1% 1/10W 0402</t>
  </si>
  <si>
    <t>RES Thick Film 100R 1% 1/10W 0402 SMD</t>
  </si>
  <si>
    <r>
      <rPr>
        <sz val="8"/>
        <color rgb="FF000000"/>
        <rFont val="Segoe UI"/>
      </rPr>
      <t>R300, R301, R302, R303, R304, R305, R306, R307, R308, R309, R310, R311, R842, R846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R722</t>
    </r>
  </si>
  <si>
    <t>0805W8F3923T5E</t>
  </si>
  <si>
    <t>392K 1% 1/8W 0805</t>
  </si>
  <si>
    <t>RES Thick Film 392K 1% 1/8W 0805 SMD</t>
  </si>
  <si>
    <t>R312, R313, R314, R315</t>
  </si>
  <si>
    <r>
      <rPr>
        <sz val="8"/>
        <color rgb="FF000000"/>
        <rFont val="Segoe UI"/>
      </rPr>
      <t>UNI-ROYAL(</t>
    </r>
    <r>
      <rPr>
        <sz val="8"/>
        <color rgb="FF000000"/>
        <rFont val="宋体"/>
        <family val="3"/>
        <charset val="134"/>
      </rPr>
      <t>厚声</t>
    </r>
    <r>
      <rPr>
        <sz val="8"/>
        <color rgb="FF000000"/>
        <rFont val="Segoe UI"/>
      </rPr>
      <t xml:space="preserve">) </t>
    </r>
  </si>
  <si>
    <t>0402WGF2492TCE</t>
  </si>
  <si>
    <t>24.9K 1% 1/16W 0402</t>
  </si>
  <si>
    <t>RES Thick Film 24.9K 1% 1/16W 0402 SMD</t>
  </si>
  <si>
    <t>R316</t>
  </si>
  <si>
    <t>0402WGF1152TCE</t>
  </si>
  <si>
    <t>11.5K 1% 1/16W 0402</t>
  </si>
  <si>
    <t>RES Thick Film 11.5K 1% 1/16W 0402 SMD</t>
  </si>
  <si>
    <t>R317</t>
  </si>
  <si>
    <t>13000-S00264HH-00</t>
  </si>
  <si>
    <t>RC0402FR-071KL</t>
  </si>
  <si>
    <t>1K 1% 1/16W 0402</t>
  </si>
  <si>
    <t>RES Thick Film 1K 1% 1/16W 0402 SMD</t>
  </si>
  <si>
    <t>R318, R321, R514, R515, R517, R519, R526, R533, R541, R552, R624, R627, R637, R741, R743, R749, R784, R864, R909</t>
  </si>
  <si>
    <t>0805W8F1001T5E</t>
  </si>
  <si>
    <t>1K 1% 1/8W 0805</t>
  </si>
  <si>
    <t>RES Thick Film 1K 1% 1/8W 0805 SMD</t>
  </si>
  <si>
    <t>R319, R626</t>
  </si>
  <si>
    <t>13000-S000984H-00</t>
  </si>
  <si>
    <t>AC0402FR-075K1L</t>
  </si>
  <si>
    <t>5.1K 1% 1/16W 0402</t>
  </si>
  <si>
    <t>RES Thick Film 5.1K 1% 1/16W 0402 SMD</t>
  </si>
  <si>
    <t>R320</t>
  </si>
  <si>
    <t>0402WGF8251TCE</t>
  </si>
  <si>
    <t>8.25K 1% 1/16W 0402</t>
  </si>
  <si>
    <t>RES Thick Film 8.25K 1% 1/16W 0402 SMD</t>
  </si>
  <si>
    <t>R322, R323</t>
  </si>
  <si>
    <t>0402WGF470JTCE</t>
  </si>
  <si>
    <t>47R 1% 1/16W 0402</t>
  </si>
  <si>
    <t>RES Thick Film 47R 1% 1/16W 0402 SMD</t>
  </si>
  <si>
    <t>R325, R326, R327</t>
  </si>
  <si>
    <t>AC1206FR-0730RL</t>
  </si>
  <si>
    <t>30R 1% 1/4W 1206</t>
  </si>
  <si>
    <t>RES Thick Film 30R 1% 1/4W 1206 SMD</t>
  </si>
  <si>
    <t>R400, R401, R404, R405, R501, R502, R507, R508</t>
  </si>
  <si>
    <t>13000-S040324H-00</t>
  </si>
  <si>
    <t>0402WGF1502TCE</t>
  </si>
  <si>
    <t xml:space="preserve">15K 1% 1/16W 0402 </t>
  </si>
  <si>
    <t>RES Thick Film 15K 1% 1/16W 0402 SMD</t>
  </si>
  <si>
    <t>R402, R403, R406, R407, R503, R504, R509, R510, R840, R871, R872</t>
  </si>
  <si>
    <r>
      <rPr>
        <sz val="8"/>
        <color rgb="FF000000"/>
        <rFont val="Segoe UI"/>
      </rPr>
      <t>UNI-ROYAL(</t>
    </r>
    <r>
      <rPr>
        <sz val="8"/>
        <color rgb="FF000000"/>
        <rFont val="SimSun"/>
        <family val="3"/>
        <charset val="134"/>
      </rPr>
      <t>厚声</t>
    </r>
    <r>
      <rPr>
        <sz val="8"/>
        <color rgb="FF000000"/>
        <rFont val="Segoe UI"/>
      </rPr>
      <t>)</t>
    </r>
  </si>
  <si>
    <t>AC0805FR-071RL</t>
  </si>
  <si>
    <t>1R 1% 1/8W 0805</t>
  </si>
  <si>
    <t>RES Thick Film 1R 1% 1/8W 0805 SMD</t>
  </si>
  <si>
    <t>R412, R418, R535, R548</t>
  </si>
  <si>
    <t>AC0402FR-0751K5L</t>
  </si>
  <si>
    <t>51.1K 1% 1/16W 0402</t>
  </si>
  <si>
    <t>RES Thick Film 51.1K 1% 1/16W 0402 SMD</t>
  </si>
  <si>
    <t>R511, R521, R522, R536, R833, R834, R838</t>
  </si>
  <si>
    <t>PA2512FKF7T0R002E</t>
  </si>
  <si>
    <t>2mR</t>
  </si>
  <si>
    <t>RES current sense 0.001R 3W 0.5%</t>
  </si>
  <si>
    <t>R512,R527</t>
  </si>
  <si>
    <t>R2512</t>
  </si>
  <si>
    <t>1206W4F0000T5E</t>
  </si>
  <si>
    <t>0R/1206</t>
  </si>
  <si>
    <t>R528, R964, R969</t>
  </si>
  <si>
    <t>13000-S00157HH-00</t>
  </si>
  <si>
    <t>RC0402FR-07330RL</t>
  </si>
  <si>
    <t>330R 1% 1/16W 0402</t>
  </si>
  <si>
    <t>RES Thick Film 330R 1% 1/16W 0402 SMD</t>
  </si>
  <si>
    <t>R534</t>
  </si>
  <si>
    <t>AC1206FR-072RL</t>
  </si>
  <si>
    <t>2R 1% 1/4W 1206</t>
  </si>
  <si>
    <t>RES Thick Film 2R 1% 1/4W 1206 SMD</t>
  </si>
  <si>
    <t>R556</t>
  </si>
  <si>
    <t>13000-S170034H-00</t>
  </si>
  <si>
    <t>RMC1/16SJPTH</t>
  </si>
  <si>
    <t>0R 1/10W 1% 0402</t>
  </si>
  <si>
    <t>RES Thick Film 0R 1% 1/10W 0402 SMD</t>
  </si>
  <si>
    <r>
      <rPr>
        <sz val="8"/>
        <color rgb="FF000000"/>
        <rFont val="Segoe UI"/>
      </rPr>
      <t>R600, R622, R623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R724, R726, R737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R899, R900, R906, R907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R999,R1022,R1023,R1026,R1027</t>
    </r>
  </si>
  <si>
    <t>13000-S002422H-00</t>
  </si>
  <si>
    <t>AC0402FR-0749R9L</t>
  </si>
  <si>
    <t>49R9 1/10W 1% 0402</t>
  </si>
  <si>
    <t>RES Thick Film 49R9 1/10W 1% 0402 SMD</t>
  </si>
  <si>
    <t>R605, R610, R615, R709, R735, R915,R1019</t>
  </si>
  <si>
    <t>13000-S170049H-00</t>
  </si>
  <si>
    <t>RMC1/16K472FTP</t>
  </si>
  <si>
    <t>4.7K 1% 1/10W 0603</t>
  </si>
  <si>
    <t>RES Thick Film 4.7K 1% 1/10W 0603 SMD</t>
  </si>
  <si>
    <t>R638</t>
  </si>
  <si>
    <t>13000-S002416H-00</t>
  </si>
  <si>
    <t>AC0402FR-071ML</t>
  </si>
  <si>
    <t>1M 1% 1/16W 0402</t>
  </si>
  <si>
    <t>RES Thick Film 1M 1/16W 1% 0402 SMD</t>
  </si>
  <si>
    <t>R639, R903, R744, R760, R775, R792</t>
  </si>
  <si>
    <t>13000-S170109H-00</t>
  </si>
  <si>
    <t>RMC1/16SK471FTH</t>
  </si>
  <si>
    <t>470R 1% 1/10W 0402</t>
  </si>
  <si>
    <t>RES Thick Film 470R 1% 1/10W 0402 SMD</t>
  </si>
  <si>
    <t>R640, R642</t>
  </si>
  <si>
    <t>13000-S170047H-00</t>
  </si>
  <si>
    <t>RMC1/16SK202FTH</t>
  </si>
  <si>
    <t>2K 1% 1/16W 0402</t>
  </si>
  <si>
    <t>RES Thick Film 2K 1% 1/16W 0402 SMD</t>
  </si>
  <si>
    <t>R641, R912, R913, R997, R998</t>
  </si>
  <si>
    <t>13000-S002430H-00</t>
  </si>
  <si>
    <t>AT0402BRD0749R9L</t>
  </si>
  <si>
    <t>49R9 1/16W 0.1% 0402</t>
  </si>
  <si>
    <t>RES Thin Film 49R9 1/16W 0.1% 0402 AEC-Q200 SMD</t>
  </si>
  <si>
    <t>R700, R707, R712, R721</t>
  </si>
  <si>
    <t>13000-S270003H-00</t>
  </si>
  <si>
    <t>RQ73C2B16R5BTD</t>
  </si>
  <si>
    <t>16.5Ohm 2/5W 0.1% 1206</t>
  </si>
  <si>
    <t>RES Thin Film 16.5Ohm 2/5W 0.1% 1206 AEC-Q200 SMD</t>
  </si>
  <si>
    <t>R701, R702, R703, R704, R705, R706, R715, R716, R717, R718, R719, R720</t>
  </si>
  <si>
    <t>TE</t>
  </si>
  <si>
    <t>HP02WAF100KTCE</t>
  </si>
  <si>
    <t>1R 1% 1/10W 0402</t>
  </si>
  <si>
    <t>RES Thick Film 1R 1% 1/10W 0402 SMD</t>
  </si>
  <si>
    <t>R708, R733</t>
  </si>
  <si>
    <t>13000-S002424H-00</t>
  </si>
  <si>
    <t>AC0402FR-07619KL</t>
  </si>
  <si>
    <t>619K 1/16W 1% 0402</t>
  </si>
  <si>
    <t>RES Thick Film 619K 1/16W 1% 0402 AEC-Q200 SMD</t>
  </si>
  <si>
    <t>R710, R736</t>
  </si>
  <si>
    <t>13000-S002446H-00</t>
  </si>
  <si>
    <t>AT0402BRD0720RL</t>
  </si>
  <si>
    <t>20R 1/16W 0.1% 0402</t>
  </si>
  <si>
    <t>RES Thin Film 20R 1/16W 0.1% 0402 AEC-Q200 SMD</t>
  </si>
  <si>
    <t>R714, R936, R938, R953, R954, R955, R956</t>
  </si>
  <si>
    <t>13000-S002447H-00</t>
  </si>
  <si>
    <t>AT0402BRD0724KL</t>
  </si>
  <si>
    <t>24K 1/16W 0.1% 0402</t>
  </si>
  <si>
    <t>RES Thin Film 24K 1/16W 0.1% 0402 AEC-Q200 SMD</t>
  </si>
  <si>
    <t>R723</t>
  </si>
  <si>
    <t>AC0402FR-0720RL</t>
  </si>
  <si>
    <t>20R 1% 1/16W 0402</t>
  </si>
  <si>
    <t>RES Thick Film 20R 1% 1/16W 0402 SMD</t>
  </si>
  <si>
    <t>R725</t>
  </si>
  <si>
    <t>0603WAF4020T5E</t>
  </si>
  <si>
    <t>400R 1/10W 1% 0603</t>
  </si>
  <si>
    <t>RES Thick Film 402R 1/10W 1% 0603 SMD</t>
  </si>
  <si>
    <t>R727</t>
  </si>
  <si>
    <t>RC0402FR-074K3L</t>
  </si>
  <si>
    <t>4.3K 1% 1/16W 0402</t>
  </si>
  <si>
    <t>RES Thick Film 4.3K 1% 1/16W 0402 SMD</t>
  </si>
  <si>
    <t>R728</t>
  </si>
  <si>
    <t>13000-S002439H-00</t>
  </si>
  <si>
    <t>AT0402BRD071KL</t>
  </si>
  <si>
    <t>1K 1/16W 0.1% 0402</t>
  </si>
  <si>
    <t>RES Thin Film 1K 1/16W 0.1% 0402 AEC-Q200 SMD</t>
  </si>
  <si>
    <t>R729</t>
  </si>
  <si>
    <t>13000-S170102H-00</t>
  </si>
  <si>
    <t xml:space="preserve">RMC1/16SK560FTH </t>
  </si>
  <si>
    <t>56R 1% 1/10W 0402</t>
  </si>
  <si>
    <t>RES Thick Film 56R 1% 1/10W 0402 SMD</t>
  </si>
  <si>
    <t>R730</t>
  </si>
  <si>
    <t>13000-S002448H-00</t>
  </si>
  <si>
    <t>AT0402BRD074K75L</t>
  </si>
  <si>
    <t>4.75K 1/16W 0.1% 0402</t>
  </si>
  <si>
    <t>RES Thin Film 4.75K 1/16W 0.1% 0402 AEC-Q200 SMD</t>
  </si>
  <si>
    <t>R731</t>
  </si>
  <si>
    <t>13000-S170040H-00</t>
  </si>
  <si>
    <t>RMC1/16SK472FTH</t>
  </si>
  <si>
    <t>4.7K 1% 1/16W 0402</t>
  </si>
  <si>
    <t>RES Thick Film 4.7K 1% 1/16W 0402 SMD</t>
  </si>
  <si>
    <r>
      <rPr>
        <sz val="8"/>
        <color rgb="FF000000"/>
        <rFont val="Segoe UI"/>
      </rPr>
      <t>R738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R873, R1009</t>
    </r>
  </si>
  <si>
    <t>13000-S170033H-00</t>
  </si>
  <si>
    <t>RMC1/16SK473FTH</t>
  </si>
  <si>
    <t>47K 1/10W 1% 0402</t>
  </si>
  <si>
    <t>RES Thick Film 47K 1/10W 1% 0402 SMD</t>
  </si>
  <si>
    <t>R740, R875</t>
  </si>
  <si>
    <t>13000-S002419H-00</t>
  </si>
  <si>
    <t>AC0402FR-073K57L</t>
  </si>
  <si>
    <t>3.57K 1/16W 1% 0402</t>
  </si>
  <si>
    <t>RES Thick Film 3.57K 1/16W 1% 0402 AEC-Q200 SMD</t>
  </si>
  <si>
    <t>R748</t>
  </si>
  <si>
    <t>13000-S002457H-00</t>
  </si>
  <si>
    <t>AC0402FR-071K82L</t>
  </si>
  <si>
    <t>1.82K 1/16W 1% 0402</t>
  </si>
  <si>
    <t>RES Thick Film 1.82K 1/16W 1% 0402 AEC-Q200 SMD</t>
  </si>
  <si>
    <t>R754, R768, R782, R788</t>
  </si>
  <si>
    <t>13000-S002438H-00</t>
  </si>
  <si>
    <t>AC0402FR-0711KL</t>
  </si>
  <si>
    <t>11K 1/16W 1% 0402</t>
  </si>
  <si>
    <t>RES Thick Film 11K 1/16W 1% 0402 AEC-Q200 SMD</t>
  </si>
  <si>
    <t>R755, R767,R994</t>
  </si>
  <si>
    <t>13000-S002455H-00</t>
  </si>
  <si>
    <t>AC0402FR-07200KL</t>
  </si>
  <si>
    <t>200K 1/16W 1% 0402</t>
  </si>
  <si>
    <t>RES Thick Film 200K 1/16W 1% 0402 AEC-Q200 SMD</t>
  </si>
  <si>
    <t>R757, R758, R770, R774, R780, R793</t>
  </si>
  <si>
    <t>13000-S002456H-00</t>
  </si>
  <si>
    <t>AC0603FR-074K3L</t>
  </si>
  <si>
    <t>4.3K 1/10W 1% 0603</t>
  </si>
  <si>
    <t>RES Thick Film 4.3K 1/10W 1% 0603 AEC-Q200 SMD</t>
  </si>
  <si>
    <t>R766, R781</t>
  </si>
  <si>
    <t>13000-S002417H-00</t>
  </si>
  <si>
    <t>AC0402FR-0724KL</t>
  </si>
  <si>
    <t>24K 1/16W 1% 0402</t>
  </si>
  <si>
    <t>RES Thick Film 24K 1/16W 1% 0402 AEC-Q200 SMD</t>
  </si>
  <si>
    <t>R772</t>
  </si>
  <si>
    <t>13000-S002458H-00</t>
  </si>
  <si>
    <t>AC1210FR-0760R4L</t>
  </si>
  <si>
    <t>60R4 1/2W 1% 1210</t>
  </si>
  <si>
    <t>RES Thick Film 60.4 1/2W 1% 1210 AEC-Q200 SMD</t>
  </si>
  <si>
    <t>R779</t>
  </si>
  <si>
    <t>R1210</t>
  </si>
  <si>
    <t>13000-S002459H-00</t>
  </si>
  <si>
    <t>AC0402FR-076K8L</t>
  </si>
  <si>
    <t>6.8K 1/16W 1% 0402</t>
  </si>
  <si>
    <t>RES Thick Film 6.8K 1/16W 1% 0402 AEC-Q200 SMD</t>
  </si>
  <si>
    <t>R783, R787</t>
  </si>
  <si>
    <t>13000-S031538H-00</t>
  </si>
  <si>
    <t>RMS06FT3001</t>
  </si>
  <si>
    <t>TA-I</t>
  </si>
  <si>
    <t>AC0603FR-0712RL</t>
  </si>
  <si>
    <t>12R 1/10W 1% 0603</t>
  </si>
  <si>
    <t>RES Thick Film 12R 1/10W 1% 0603 SMD</t>
  </si>
  <si>
    <t>R802, R809, R822, R826</t>
  </si>
  <si>
    <t>13000-S031540H-00</t>
  </si>
  <si>
    <t>RMS10FT1501</t>
  </si>
  <si>
    <t>1.5K 1/8W 1% 0805</t>
  </si>
  <si>
    <t>RES Thick Film 1.5K 1/8W 1% 0805 SMD</t>
  </si>
  <si>
    <t>R805, R824</t>
  </si>
  <si>
    <t>13000-S031541H-00</t>
  </si>
  <si>
    <t>RMS10FT3301</t>
  </si>
  <si>
    <t>3.3K 1/8W 1% 0805</t>
  </si>
  <si>
    <t>RES Thick Film 3.3K 1/8W 1% 0805 SMD</t>
  </si>
  <si>
    <t>R806, R815, R825, R831</t>
  </si>
  <si>
    <t>13000-S031286H-00</t>
  </si>
  <si>
    <t>RMS06FT1001</t>
  </si>
  <si>
    <t>1K 1/10W 1% 0603</t>
  </si>
  <si>
    <t>RES Thick Film 1K 1/10W 1% 0603 SMD</t>
  </si>
  <si>
    <t>R808, R811, R837, R979</t>
  </si>
  <si>
    <t>13000-S031530H-00</t>
  </si>
  <si>
    <t>RMS12FT2201</t>
  </si>
  <si>
    <t>2.2K 1/4W 1% 1206</t>
  </si>
  <si>
    <t>RES Thick Film 2.2K 1/4W 1% 1206 SMD</t>
  </si>
  <si>
    <t>R810, R828</t>
  </si>
  <si>
    <t>13000-S170048H-00</t>
  </si>
  <si>
    <t>RMC1/16SK104FTH</t>
  </si>
  <si>
    <t>100K 1% 1/16W 0402</t>
  </si>
  <si>
    <t>RES Thick Film 100K 1% 1/16W 0402 SMD</t>
  </si>
  <si>
    <r>
      <rPr>
        <sz val="8"/>
        <color rgb="FF000000"/>
        <rFont val="Segoe UI"/>
      </rPr>
      <t>R812, R813, R918, R930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R845, R850, R852, R854, R898, R984, R988, R990, R993, R995, R996, R1000</t>
    </r>
  </si>
  <si>
    <t>RL1206FR-070R1L</t>
  </si>
  <si>
    <t>0.1R 1% 1/4W 1206</t>
  </si>
  <si>
    <t>CSR 0.1R 1% 1/4W 1206 SMD</t>
  </si>
  <si>
    <t>R832, R1007</t>
  </si>
  <si>
    <t>RC0805FR-072K74L</t>
  </si>
  <si>
    <t>2.74K 1% 1/8W 0805</t>
  </si>
  <si>
    <t>RES Thick Film 2.74K 1% 1/8W 0805 SMD</t>
  </si>
  <si>
    <t>R835</t>
  </si>
  <si>
    <t>RC0805FR-071K3L</t>
  </si>
  <si>
    <t>1.3K 1% 1/8W 0805</t>
  </si>
  <si>
    <t>RES Thick Film 1.3K 1% 1/8W 0805 SMD</t>
  </si>
  <si>
    <t>R836</t>
  </si>
  <si>
    <t>RC0402FR-0733KL</t>
  </si>
  <si>
    <t>33K 1% 1/16W 0402</t>
  </si>
  <si>
    <t>RES Thick Film 33K 1% 1/16W 0402 SMD</t>
  </si>
  <si>
    <t>R839, R879</t>
  </si>
  <si>
    <t>13000-S03186HH-00</t>
  </si>
  <si>
    <t>RMS06FT1000</t>
  </si>
  <si>
    <t>100R 1% 1/10W 0603</t>
  </si>
  <si>
    <t>RES Thick Film 100R 1% 1/10W 0603 AEC-Q200 SMD</t>
  </si>
  <si>
    <t>R841, R877</t>
  </si>
  <si>
    <t>0805W8F4700T5E</t>
  </si>
  <si>
    <t>470R 1% 1/8W 0805</t>
  </si>
  <si>
    <t>RES Thick Film 470R 1% 1/8W 0805 SMD</t>
  </si>
  <si>
    <t>R843</t>
  </si>
  <si>
    <t>RC0402FR-0730KL</t>
  </si>
  <si>
    <t>30K 1% 1/16W 0402</t>
  </si>
  <si>
    <t>RES Thick Film 30K 1% 1/16W 0402 SMD</t>
  </si>
  <si>
    <t>R847</t>
  </si>
  <si>
    <t>RC0402FR-0760K4L</t>
  </si>
  <si>
    <t>60.4K 1% 1/16W 0402</t>
  </si>
  <si>
    <t>RES Thick Film 60.4K 1% 1/16W 0402 SMD</t>
  </si>
  <si>
    <t>R853</t>
  </si>
  <si>
    <t>AC0402FR-0727K4L</t>
  </si>
  <si>
    <t>27.4K 1% 1/16W 0402</t>
  </si>
  <si>
    <t>RES Thick Film 27.4K 1% 1/16W 0402 SMD</t>
  </si>
  <si>
    <t>R855, R856, R857, R862, R863</t>
  </si>
  <si>
    <t>RC0402FR-07300KL</t>
  </si>
  <si>
    <t>300K 1% 1/16W 0402</t>
  </si>
  <si>
    <t>RES Thick Film 300K 1% 1/16W 0402 SMD</t>
  </si>
  <si>
    <t>R858</t>
  </si>
  <si>
    <t>RC0402FR-073KL</t>
  </si>
  <si>
    <t>3K 1% 1/16W 0402</t>
  </si>
  <si>
    <t>RES Thick Film 3K 1% 1/16W 0402 SMD</t>
  </si>
  <si>
    <t>R859, R860, R861</t>
  </si>
  <si>
    <t>RC0402FR-07499KL</t>
  </si>
  <si>
    <t>499K 1% 1/16W 0402</t>
  </si>
  <si>
    <t>RES Thick Film 499K 1% 1/16W 0402 SMD</t>
  </si>
  <si>
    <t>R866</t>
  </si>
  <si>
    <t>RC0402FR-0790K9L</t>
  </si>
  <si>
    <t>90.9K 1% 1/16W 0402</t>
  </si>
  <si>
    <t>RES Thick Film 90.9K 1% 1/16W 0402 SMD</t>
  </si>
  <si>
    <t>R870</t>
  </si>
  <si>
    <t>AC0603FR-073K3L</t>
  </si>
  <si>
    <t>3.3K 1% 1/10W 0603</t>
  </si>
  <si>
    <t>RES Thick Film 3.3K 1% 1/10W 0603 SMD</t>
  </si>
  <si>
    <t>R876</t>
  </si>
  <si>
    <t>RC0402FR-074K99L</t>
  </si>
  <si>
    <t>4.99K 1% 1/16W 0402</t>
  </si>
  <si>
    <t>RES Thick Film 4.99K 1% 1/16W 0402 SMD</t>
  </si>
  <si>
    <t>R878</t>
  </si>
  <si>
    <t>RC0402FR-071K3L</t>
  </si>
  <si>
    <t>1.3K 1% 1/16W 0402</t>
  </si>
  <si>
    <t>RES Thick Film 1.3K 1% 1/16W 0402 SMD</t>
  </si>
  <si>
    <t>R881, R882</t>
  </si>
  <si>
    <t>13200-S000111H-00</t>
  </si>
  <si>
    <t>BLM18AG102SH1D</t>
  </si>
  <si>
    <t>Ferrite bead 1KΩ@100MHz 25% 450mA 500mohm 0603 SMD</t>
  </si>
  <si>
    <t>R884, R885, R886, R887, R888, R889, R890, R891, R892, R893, R894, R895, R896, R1010, R1011, R1012, R1013, R1014</t>
  </si>
  <si>
    <t>13000-S031526H-00</t>
  </si>
  <si>
    <t>RMS06FT2001</t>
  </si>
  <si>
    <t>2K 1/10W 1% 0603</t>
  </si>
  <si>
    <t>RES Thick Film 2K 1/10W 1% 0603 SMD</t>
  </si>
  <si>
    <t>R914</t>
  </si>
  <si>
    <t>13000-S002421H-00</t>
  </si>
  <si>
    <t>AC0402FR-0749K9L</t>
  </si>
  <si>
    <t>49.9K 1/10W 1% 0402</t>
  </si>
  <si>
    <t>RES Thick Film 49.9K 1/10W 1% 0402 SMD</t>
  </si>
  <si>
    <r>
      <rPr>
        <sz val="8"/>
        <color rgb="FF000000"/>
        <rFont val="Segoe UI"/>
      </rPr>
      <t>R916, R917, R929, R931, R934, R945, R946, R947, R948, R949, R950, R951, R952</t>
    </r>
    <r>
      <rPr>
        <sz val="8"/>
        <color rgb="FF000000"/>
        <rFont val="宋体"/>
        <family val="3"/>
        <charset val="134"/>
      </rPr>
      <t>，</t>
    </r>
    <r>
      <rPr>
        <sz val="8"/>
        <color rgb="FF000000"/>
        <rFont val="Segoe UI"/>
      </rPr>
      <t>R989</t>
    </r>
  </si>
  <si>
    <r>
      <rPr>
        <sz val="8"/>
        <color rgb="FF000000"/>
        <rFont val="宋体"/>
        <family val="3"/>
        <charset val="134"/>
      </rPr>
      <t>已备料</t>
    </r>
    <r>
      <rPr>
        <sz val="8"/>
        <color rgb="FF000000"/>
        <rFont val="Segoe UI"/>
      </rPr>
      <t>200pcs</t>
    </r>
  </si>
  <si>
    <t>13000-S170022H-00</t>
  </si>
  <si>
    <t>RMC1/16JPTP</t>
  </si>
  <si>
    <t>0R 1/10W 5% 0603</t>
  </si>
  <si>
    <t>RES Thick Film 0R 1/10W 5% 0603 SMD</t>
  </si>
  <si>
    <t>R926, R927, R940, R941, R944</t>
  </si>
  <si>
    <t>13000-S170051H-00</t>
  </si>
  <si>
    <t>RMC1/10K100FTP</t>
  </si>
  <si>
    <t>10R 1% 1/8W 0805</t>
  </si>
  <si>
    <t>RES Thick Film 10R 1% 1/8W 0805 SMD</t>
  </si>
  <si>
    <t>R963, R967</t>
  </si>
  <si>
    <t>AC1206FR-070RL</t>
  </si>
  <si>
    <t>0R 1% 1/4W 1206</t>
  </si>
  <si>
    <t>RES Thick Film 0R 1% 1/4W 1206 SMD</t>
  </si>
  <si>
    <t>R964, R969</t>
  </si>
  <si>
    <t>13000-S040558H-00</t>
  </si>
  <si>
    <t>1206W4F1003T5E</t>
  </si>
  <si>
    <t>100K 1% 1/4W 1206</t>
  </si>
  <si>
    <t>RES Thick Film 100K 1% 1/4W 1206 SMD</t>
  </si>
  <si>
    <t>R965, R968</t>
  </si>
  <si>
    <r>
      <rPr>
        <sz val="8"/>
        <color rgb="FF000000"/>
        <rFont val="Segoe UI"/>
      </rPr>
      <t>UNI-ROYAL(</t>
    </r>
    <r>
      <rPr>
        <sz val="8"/>
        <color rgb="FF000000"/>
        <rFont val="宋体"/>
        <family val="3"/>
        <charset val="134"/>
      </rPr>
      <t>厚声）</t>
    </r>
  </si>
  <si>
    <t>RC0603FR-07240RL</t>
  </si>
  <si>
    <t>240R 1% 1/10W 0603</t>
  </si>
  <si>
    <t>RES Thick Film 240R 1% 1/10W 0603 SMD</t>
  </si>
  <si>
    <t>R966, R973</t>
  </si>
  <si>
    <t>AC0805FR-072K21L</t>
  </si>
  <si>
    <t>2.21K 1% 1/8W 0805</t>
  </si>
  <si>
    <t>RES Thick Film 2.21K 1% 1/8W 0805 SMD</t>
  </si>
  <si>
    <t>R970, R978</t>
  </si>
  <si>
    <t>RC0805FR-07200KL</t>
  </si>
  <si>
    <t>200K 1% 1/8W 0805</t>
  </si>
  <si>
    <t>RES Thick Film 200K 1% 1/8W 0805 SMD</t>
  </si>
  <si>
    <t>R972</t>
  </si>
  <si>
    <t>13000-S170071H-00</t>
  </si>
  <si>
    <t>RMC1/16K510FTP</t>
  </si>
  <si>
    <t>51R 1% 1/10W 0603</t>
  </si>
  <si>
    <t>RES Thick Film 51R 1% 1/10W 0603 SMD</t>
  </si>
  <si>
    <t>R974, R977</t>
  </si>
  <si>
    <t>13000-S170074H-00</t>
  </si>
  <si>
    <t>RMC1/16K104FTP</t>
  </si>
  <si>
    <t>100K 1% 1/10W 0603</t>
  </si>
  <si>
    <t>RES Thick Film 100K 1% 1/10W 0603 SMD</t>
  </si>
  <si>
    <t>R975</t>
  </si>
  <si>
    <t>RC0805FR-0715KL</t>
  </si>
  <si>
    <t>15K 1% 1/8W 0805</t>
  </si>
  <si>
    <t>RES Thick Film 15K 1% 1/8W 0805 SMD</t>
  </si>
  <si>
    <t>R976</t>
  </si>
  <si>
    <t>RL1206JR-070R3L</t>
  </si>
  <si>
    <t>0.3R 5% 1/4W 1206</t>
  </si>
  <si>
    <t>CSR 0.3R 5% 1/4W 1206 SMD</t>
  </si>
  <si>
    <t>R980, R981</t>
  </si>
  <si>
    <t>AC0402FR-07110KL</t>
  </si>
  <si>
    <t>110K 1% 1/16W 0402</t>
  </si>
  <si>
    <t>R983, R987</t>
  </si>
  <si>
    <t>0402WGF3012TCE</t>
  </si>
  <si>
    <t>30.1K 1% 1/16W 0402</t>
  </si>
  <si>
    <t>RES Thick Film 30.1K 1% 1/16W 0402 SMD</t>
  </si>
  <si>
    <t>R985, R991, R1008</t>
  </si>
  <si>
    <t>AC0402FR-0734K8L</t>
  </si>
  <si>
    <t>34.8K 1% 1/16W 0402</t>
  </si>
  <si>
    <t>RES Thick Film 34.8K 1% 1/16W 0402 SMD</t>
  </si>
  <si>
    <t>R986, R992</t>
  </si>
  <si>
    <t>0402WGF332JTCE</t>
  </si>
  <si>
    <t>33.2R</t>
  </si>
  <si>
    <t>R1016, R1017, R1018</t>
  </si>
  <si>
    <t>0R</t>
  </si>
  <si>
    <t>R1020</t>
  </si>
  <si>
    <t>NCU18XH103F6SRB</t>
  </si>
  <si>
    <t>NTC 10K</t>
  </si>
  <si>
    <r>
      <rPr>
        <sz val="8"/>
        <color rgb="FF000000"/>
        <rFont val="Segoe UI"/>
      </rPr>
      <t>NTC,10k 1% 3434K@(25/85</t>
    </r>
    <r>
      <rPr>
        <sz val="8"/>
        <color rgb="FF000000"/>
        <rFont val="宋体"/>
        <family val="3"/>
        <charset val="134"/>
      </rPr>
      <t>℃</t>
    </r>
    <r>
      <rPr>
        <sz val="8"/>
        <color rgb="FF000000"/>
        <rFont val="Segoe UI"/>
      </rPr>
      <t>) -40</t>
    </r>
    <r>
      <rPr>
        <sz val="8"/>
        <color rgb="FF000000"/>
        <rFont val="宋体"/>
        <family val="3"/>
        <charset val="134"/>
      </rPr>
      <t>℃</t>
    </r>
    <r>
      <rPr>
        <sz val="8"/>
        <color rgb="FF000000"/>
        <rFont val="Segoe UI"/>
      </rPr>
      <t xml:space="preserve"> to 150</t>
    </r>
    <r>
      <rPr>
        <sz val="8"/>
        <color rgb="FF000000"/>
        <rFont val="宋体"/>
        <family val="3"/>
        <charset val="134"/>
      </rPr>
      <t>℃</t>
    </r>
    <r>
      <rPr>
        <sz val="8"/>
        <color rgb="FF000000"/>
        <rFont val="Segoe UI"/>
      </rPr>
      <t xml:space="preserve"> 0603 RoHS AEC-Q200 SMD</t>
    </r>
  </si>
  <si>
    <t>RT300, TH600</t>
  </si>
  <si>
    <t>RT0603</t>
  </si>
  <si>
    <r>
      <rPr>
        <sz val="8"/>
        <color rgb="FF000000"/>
        <rFont val="Segoe UI"/>
      </rPr>
      <t>LLC</t>
    </r>
    <r>
      <rPr>
        <sz val="8"/>
        <color rgb="FF000000"/>
        <rFont val="宋体"/>
        <family val="3"/>
        <charset val="134"/>
      </rPr>
      <t>主变压器</t>
    </r>
  </si>
  <si>
    <t>T400</t>
  </si>
  <si>
    <r>
      <rPr>
        <sz val="8"/>
        <color rgb="FF000000"/>
        <rFont val="Segoe UI"/>
      </rPr>
      <t xml:space="preserve">PQ5050+PQ5019 </t>
    </r>
    <r>
      <rPr>
        <sz val="8"/>
        <color rgb="FF000000"/>
        <rFont val="等线"/>
        <family val="4"/>
        <charset val="134"/>
      </rPr>
      <t>立式</t>
    </r>
  </si>
  <si>
    <t>Transformer, Current Sense</t>
  </si>
  <si>
    <t>T500</t>
  </si>
  <si>
    <t>CS_15_7_13</t>
  </si>
  <si>
    <r>
      <rPr>
        <sz val="8"/>
        <color rgb="FF000000"/>
        <rFont val="宋体"/>
        <family val="3"/>
        <charset val="134"/>
      </rPr>
      <t>辅源变压器</t>
    </r>
  </si>
  <si>
    <t>T900</t>
  </si>
  <si>
    <t>BOBBIN_10P_EI_25</t>
  </si>
  <si>
    <t>NSM2011-65B5R-DSWR</t>
  </si>
  <si>
    <t xml:space="preserve">IC, High-Accuracy, Hall-Effect-Based Current Sensor IC, Common-Mode Field Rejection in 5kV High-Isolation WB SOIC16 </t>
  </si>
  <si>
    <t>U200</t>
  </si>
  <si>
    <t>NOVOSENSE</t>
  </si>
  <si>
    <t>RS821XF</t>
  </si>
  <si>
    <t>14MHz, Rail-to-Rail I/O CMOS Operational Amplifier SOT23-5</t>
  </si>
  <si>
    <t>U201</t>
  </si>
  <si>
    <r>
      <rPr>
        <sz val="8"/>
        <color rgb="FF000000"/>
        <rFont val="Segoe UI"/>
      </rPr>
      <t>RUNIC(</t>
    </r>
    <r>
      <rPr>
        <sz val="8"/>
        <color rgb="FF000000"/>
        <rFont val="宋体"/>
        <family val="3"/>
        <charset val="134"/>
      </rPr>
      <t>润石</t>
    </r>
    <r>
      <rPr>
        <sz val="8"/>
        <color rgb="FF000000"/>
        <rFont val="Segoe UI"/>
      </rPr>
      <t xml:space="preserve">) </t>
    </r>
  </si>
  <si>
    <t>UCC27525DR</t>
  </si>
  <si>
    <t>IC GATE DRVR LOW-SIDE 8SOIC</t>
  </si>
  <si>
    <t>U202</t>
  </si>
  <si>
    <t>SOIC_8</t>
  </si>
  <si>
    <t>TI</t>
  </si>
  <si>
    <t>π162M60</t>
  </si>
  <si>
    <t>IC, Digital Isolators, WB SOIC-16</t>
  </si>
  <si>
    <t>U300, U713</t>
  </si>
  <si>
    <r>
      <rPr>
        <sz val="8"/>
        <color rgb="FF000000"/>
        <rFont val="宋体"/>
        <family val="3"/>
        <charset val="134"/>
      </rPr>
      <t>荣湃</t>
    </r>
  </si>
  <si>
    <t>dsPIC33CK256MP506</t>
  </si>
  <si>
    <t>IC, 256KB Flash, 16-Bit Digital Signal Controllers with High-Resolution PWM and CAN Flexible Data, TQFP-64</t>
  </si>
  <si>
    <t>U301</t>
  </si>
  <si>
    <t>QFN64+LQFP64</t>
  </si>
  <si>
    <t>MICROCHIP</t>
  </si>
  <si>
    <r>
      <rPr>
        <sz val="8"/>
        <color rgb="FF000000"/>
        <rFont val="Segoe UI"/>
      </rPr>
      <t xml:space="preserve">Free sample 7pcs, </t>
    </r>
    <r>
      <rPr>
        <sz val="8"/>
        <color rgb="FF000000"/>
        <rFont val="宋体"/>
        <family val="3"/>
        <charset val="134"/>
      </rPr>
      <t>预估交期4Weeks，已加急处理，下周一回复具体交期</t>
    </r>
  </si>
  <si>
    <t>TLV9062IDDFR</t>
  </si>
  <si>
    <t>IC, CMOS Operational Amplifiers,  TSOT23-8</t>
  </si>
  <si>
    <t>U500</t>
  </si>
  <si>
    <t>TSOT-23-8_L2.9-W1.6-P0.65-LS2.8-BL</t>
  </si>
  <si>
    <t>TMS320F28069PZPQ</t>
  </si>
  <si>
    <t>IC MCU 1.71V ~ 1.995V 32BIT 256KB FLSH AEC-Q101 HTQFP-100</t>
  </si>
  <si>
    <t>U600</t>
  </si>
  <si>
    <t>TQFP_100_14X14X05P_EP</t>
  </si>
  <si>
    <t>π163M61</t>
  </si>
  <si>
    <t>U601</t>
  </si>
  <si>
    <t>TLV3502AQDCNRQ1</t>
  </si>
  <si>
    <t>IC COMPARATOR 2.7V~5.5V SOT23-8</t>
  </si>
  <si>
    <t>U700, U705, U702, U706, U707</t>
  </si>
  <si>
    <t>SON-8</t>
  </si>
  <si>
    <t>ADA4891-2WARMZ-R7</t>
  </si>
  <si>
    <t>IC, High Speed, Rail-to-Rail Amplifiers, 2.7V~5.5V, MSOP-8</t>
  </si>
  <si>
    <t>U701, U703</t>
  </si>
  <si>
    <t>ADI</t>
  </si>
  <si>
    <t>采购已下单 10pcs</t>
  </si>
  <si>
    <t>TS431BIYLT</t>
  </si>
  <si>
    <t>IC VREF SHUNT ADJ 1.24V~6V 30mA SOT23-5</t>
  </si>
  <si>
    <t>U704, U709</t>
  </si>
  <si>
    <t>STMicroelectronics</t>
  </si>
  <si>
    <t>SN74LVC1G32QDBVRQ1</t>
  </si>
  <si>
    <t>SN74LVC1G32QDBVRQ1/或门</t>
  </si>
  <si>
    <t>U708</t>
  </si>
  <si>
    <t>SN74LVC1G08QDBVRQ1</t>
  </si>
  <si>
    <t>IC, Single, 2-Input Positive-AND Gate, 1.65V~5.5V, AEC-Q100, SOT23-5</t>
  </si>
  <si>
    <t>U710, U711</t>
  </si>
  <si>
    <t>NLV74HC20ADR2G</t>
  </si>
  <si>
    <t>IC NAND GATE 2CH 4-INPUT SOIC-14</t>
  </si>
  <si>
    <t>U712</t>
  </si>
  <si>
    <t>PG_D_SO_14</t>
  </si>
  <si>
    <t>NLV14044BDG</t>
  </si>
  <si>
    <t>IC LATCH QUAD R-S 16-SOIC</t>
  </si>
  <si>
    <t>U715</t>
  </si>
  <si>
    <t>SOIC_16_D</t>
  </si>
  <si>
    <t>ADUM5200WCRWZ</t>
  </si>
  <si>
    <t>IC Digital Isolator Integrated DC-DC Dual-Channel 3V-5.5V 23mA SOIC-16</t>
  </si>
  <si>
    <t>U800</t>
  </si>
  <si>
    <t>SOIC-16_L10.3-W7.5-P1.27-LS10.3-BL</t>
  </si>
  <si>
    <t>TJA1145AT/FD</t>
  </si>
  <si>
    <t>IC TRANSCEIVER FULL 1/1 SO-14 AEC-Q100</t>
  </si>
  <si>
    <t>U801</t>
  </si>
  <si>
    <t>SOT108-1</t>
  </si>
  <si>
    <t>SPC5748GHK0AMKU6</t>
  </si>
  <si>
    <t>IC MCU SPC5748G 6MB Flash 3.3V HLQFP-176</t>
  </si>
  <si>
    <t>U803</t>
  </si>
  <si>
    <t>QFP50P2600X2600X160-177N</t>
  </si>
  <si>
    <r>
      <rPr>
        <sz val="8"/>
        <color rgb="FF000000"/>
        <rFont val="Segoe UI"/>
      </rPr>
      <t>WIC001</t>
    </r>
    <r>
      <rPr>
        <sz val="8"/>
        <color rgb="FF000000"/>
        <rFont val="宋体"/>
        <family val="3"/>
        <charset val="134"/>
      </rPr>
      <t>共用料</t>
    </r>
  </si>
  <si>
    <t>ABM10AIG-40.000MHZ-2Z-T</t>
  </si>
  <si>
    <t>40MHz</t>
  </si>
  <si>
    <t>Crystal 40MHZ ±20ppm SMD-4P</t>
  </si>
  <si>
    <t>U804</t>
  </si>
  <si>
    <t>YSMD4_2.5MM_2MM</t>
  </si>
  <si>
    <t>ABRACON</t>
  </si>
  <si>
    <r>
      <rPr>
        <sz val="8"/>
        <color rgb="FF000000"/>
        <rFont val="宋体"/>
        <family val="3"/>
        <charset val="134"/>
      </rPr>
      <t>已备料</t>
    </r>
    <r>
      <rPr>
        <sz val="8"/>
        <color rgb="FF000000"/>
        <rFont val="Segoe UI"/>
      </rPr>
      <t xml:space="preserve">  10pcs</t>
    </r>
  </si>
  <si>
    <t>74LVC1G125GW-Q100</t>
  </si>
  <si>
    <t>IC Bus buffer/line driver, 3-state, TSSOP-5</t>
  </si>
  <si>
    <t>U805</t>
  </si>
  <si>
    <t>TSSOP-5_L2.1-W1.3-P0.65-LS2.2-BL</t>
  </si>
  <si>
    <t>REF5030AQDRQ1</t>
  </si>
  <si>
    <t>IC Precision Voltage Reference 3.2V~18V 3.0V ±0.1% Automotive Qualified SOIC-8</t>
  </si>
  <si>
    <t>U806</t>
  </si>
  <si>
    <t>SOIC-8_L4.9-W3.9-P1.27-LS6.0-BL</t>
  </si>
  <si>
    <r>
      <rPr>
        <sz val="8"/>
        <color rgb="FF000000"/>
        <rFont val="Segoe UI"/>
      </rPr>
      <t>TI(</t>
    </r>
    <r>
      <rPr>
        <sz val="8"/>
        <color rgb="FF000000"/>
        <rFont val="Arial Regular"/>
      </rPr>
      <t>德州仪器</t>
    </r>
    <r>
      <rPr>
        <sz val="8"/>
        <color rgb="FF000000"/>
        <rFont val="Segoe UI"/>
      </rPr>
      <t>)</t>
    </r>
  </si>
  <si>
    <t>LMV331QDBVRQ1</t>
  </si>
  <si>
    <t>IC COMPARATOR 1 GEN PUR SOT23-5</t>
  </si>
  <si>
    <t>U807</t>
  </si>
  <si>
    <t>SOT-23-5_L3.0-W1.7-P0.95-LS2.8-BR</t>
  </si>
  <si>
    <t>TJA1042T/3,118</t>
  </si>
  <si>
    <t>TJA1042T/3</t>
  </si>
  <si>
    <t>IC TRANSCEIVER HALF 1/1 SO-8 AEC-Q100</t>
  </si>
  <si>
    <t>U808, U813</t>
  </si>
  <si>
    <t>MAX3232IPW</t>
  </si>
  <si>
    <t>IC TRANSCEIVER FULL 2/2 TSSOP-16</t>
  </si>
  <si>
    <t>U809</t>
  </si>
  <si>
    <t>TSSOP MAX3232EIPW</t>
  </si>
  <si>
    <t>JODY-W263-01A-00</t>
  </si>
  <si>
    <t>IC, Serial-to-WIFI and Bluetooth Module, 2.4GHZ and 5GHZ, 802.11a/b/g/n/ac, Bluetooth 5.0</t>
  </si>
  <si>
    <t>U810</t>
  </si>
  <si>
    <t>UBLOX_JODY-W263</t>
  </si>
  <si>
    <t>Ublox</t>
  </si>
  <si>
    <r>
      <rPr>
        <sz val="8"/>
        <color rgb="FF000000"/>
        <rFont val="Segoe UI"/>
      </rPr>
      <t xml:space="preserve">KS ICT </t>
    </r>
    <r>
      <rPr>
        <sz val="8"/>
        <color rgb="FF000000"/>
        <rFont val="宋体"/>
        <family val="3"/>
        <charset val="134"/>
      </rPr>
      <t>库存料</t>
    </r>
  </si>
  <si>
    <t>TXB0104QRGYRQ1</t>
  </si>
  <si>
    <t>IC Voltage-Level Translator 4-Bit 1.2V~3.6V 1.65V~5.5V TI_VQFN-14-EP(3.5x3.5)</t>
  </si>
  <si>
    <t>U811, U812</t>
  </si>
  <si>
    <t>TI_VQFN-14_RGY</t>
  </si>
  <si>
    <t>AZ1117H-ADJTRE1</t>
  </si>
  <si>
    <t>IC REG LINEAR POS ADJ 1A SOT223</t>
  </si>
  <si>
    <t>U900, U901</t>
  </si>
  <si>
    <t>SOT-223</t>
  </si>
  <si>
    <t>KP212LGA</t>
  </si>
  <si>
    <t>IC, AC-DC Controller and MOS Driver, SOT23-6L</t>
  </si>
  <si>
    <t>U902</t>
  </si>
  <si>
    <t>SOT-23_6</t>
  </si>
  <si>
    <t>Kiwi Instruments</t>
  </si>
  <si>
    <t>AZ1117R-5.0TRE1</t>
  </si>
  <si>
    <t>IC REG LINEAR 5V 1.25A SOT89</t>
  </si>
  <si>
    <t>U903, U905</t>
  </si>
  <si>
    <t>JW5026</t>
  </si>
  <si>
    <t>IC, 40V/1A, 1.1MHz, SYNC Step-Down Converter  SOT-23-6</t>
  </si>
  <si>
    <t>U904, U906</t>
  </si>
  <si>
    <r>
      <rPr>
        <sz val="8"/>
        <color rgb="FF000000"/>
        <rFont val="Segoe UI"/>
      </rPr>
      <t>Joulwatt(</t>
    </r>
    <r>
      <rPr>
        <sz val="8"/>
        <color rgb="FF000000"/>
        <rFont val="宋体"/>
        <family val="3"/>
        <charset val="134"/>
      </rPr>
      <t>杰华特</t>
    </r>
    <r>
      <rPr>
        <sz val="8"/>
        <color rgb="FF000000"/>
        <rFont val="Segoe UI"/>
      </rPr>
      <t xml:space="preserve">) </t>
    </r>
  </si>
  <si>
    <t>JW5357</t>
  </si>
  <si>
    <t>IC, Sync Step-Down Converter, 18V/3A, SOT23-6</t>
  </si>
  <si>
    <t>U907</t>
  </si>
  <si>
    <t>561KD20-P10</t>
  </si>
  <si>
    <t>RES, MOV, Vc=925V, 6.5KA, 215J, DIP</t>
  </si>
  <si>
    <t>VAR100</t>
  </si>
  <si>
    <t>471KD20 _10</t>
  </si>
  <si>
    <r>
      <rPr>
        <sz val="8"/>
        <color rgb="FF000000"/>
        <rFont val="Segoe UI"/>
      </rPr>
      <t>Brightking(</t>
    </r>
    <r>
      <rPr>
        <sz val="8"/>
        <color rgb="FF000000"/>
        <rFont val="宋体"/>
        <family val="3"/>
        <charset val="134"/>
      </rPr>
      <t>君耀电子</t>
    </r>
    <r>
      <rPr>
        <sz val="8"/>
        <color rgb="FF000000"/>
        <rFont val="Segoe UI"/>
      </rPr>
      <t xml:space="preserve">) </t>
    </r>
  </si>
  <si>
    <t>LP5912Q1.8DRVRQ1</t>
  </si>
  <si>
    <t>IC LDO 6.5V 1.8V 500mA AEC-Q100 TI_WSON-6</t>
  </si>
  <si>
    <t>VR800</t>
  </si>
  <si>
    <t>TI_WSON-6_DRV</t>
  </si>
  <si>
    <t>ABM10AIG-20.000MHZ-4Z-T3</t>
  </si>
  <si>
    <t>20MHz</t>
  </si>
  <si>
    <t>Crystal 20MHZ ±30ppm 10pF SMD2520-4P AEC-Q200</t>
  </si>
  <si>
    <t>X600</t>
  </si>
  <si>
    <t>CRYSTAL-SMD_4P-L3.2-W2.5-BL</t>
  </si>
  <si>
    <t>ABRACON LLC</t>
  </si>
  <si>
    <t>ABS07AIG-32.768KHZ-9-T</t>
  </si>
  <si>
    <t>32.768kHz</t>
  </si>
  <si>
    <t xml:space="preserve">Crystal 32.768kHz 20ppm SMD3215-2P </t>
  </si>
  <si>
    <t>Y800</t>
  </si>
  <si>
    <t>CRYSTAL-SMD_L3.2-W1.5-1</t>
  </si>
  <si>
    <t>BZT52C3V3S</t>
  </si>
  <si>
    <t>ZENER DIODE 3.3V 0.2W SOD-323</t>
  </si>
  <si>
    <t>ZD400, ZD401, ZD402, ZD403, ZD500, ZD501, ZD502, ZD503</t>
  </si>
  <si>
    <r>
      <rPr>
        <sz val="8"/>
        <color rgb="FF000000"/>
        <rFont val="宋体"/>
        <family val="3"/>
        <charset val="134"/>
      </rPr>
      <t>发料料号</t>
    </r>
    <phoneticPr fontId="17" type="noConversion"/>
  </si>
  <si>
    <r>
      <rPr>
        <sz val="8"/>
        <color rgb="FF000000"/>
        <rFont val="宋体"/>
        <family val="3"/>
        <charset val="134"/>
      </rPr>
      <t>发料数量</t>
    </r>
    <r>
      <rPr>
        <sz val="8"/>
        <color rgb="FF000000"/>
        <rFont val="Segoe UI Historic"/>
        <family val="2"/>
      </rPr>
      <t>/pcs</t>
    </r>
    <phoneticPr fontId="17" type="noConversion"/>
  </si>
  <si>
    <t>LMV331QDBVRQ1(Free sample:LMV331IDBVR)</t>
    <phoneticPr fontId="17" type="noConversion"/>
  </si>
  <si>
    <t>LMV331IDBVR</t>
    <phoneticPr fontId="17" type="noConversion"/>
  </si>
  <si>
    <t>UMK105B7102KVHF</t>
    <phoneticPr fontId="17" type="noConversion"/>
  </si>
  <si>
    <t>100（欠5pcs）</t>
    <phoneticPr fontId="17" type="noConversion"/>
  </si>
  <si>
    <t>JMK107B7225KAHTR</t>
    <phoneticPr fontId="17" type="noConversion"/>
  </si>
  <si>
    <t>UMK212B7105KGHT</t>
    <phoneticPr fontId="17" type="noConversion"/>
  </si>
  <si>
    <t>UMK107C7224KAHTE</t>
    <phoneticPr fontId="17" type="noConversion"/>
  </si>
  <si>
    <r>
      <rPr>
        <sz val="8"/>
        <color rgb="FF000000"/>
        <rFont val="Segoe UI"/>
      </rPr>
      <t>NJVMJD31CT4G--------&gt;Nexperia\ MJD31CA(</t>
    </r>
    <r>
      <rPr>
        <sz val="8"/>
        <color rgb="FF000000"/>
        <rFont val="宋体"/>
        <family val="3"/>
        <charset val="134"/>
      </rPr>
      <t>采购推荐替代料</t>
    </r>
    <r>
      <rPr>
        <sz val="8"/>
        <color rgb="FF000000"/>
        <rFont val="Segoe UI"/>
      </rPr>
      <t>)</t>
    </r>
    <phoneticPr fontId="17" type="noConversion"/>
  </si>
  <si>
    <t>Nexperia\ MJD31CA</t>
    <phoneticPr fontId="17" type="noConversion"/>
  </si>
  <si>
    <t>BLM18KG221SH1D</t>
    <phoneticPr fontId="17" type="noConversion"/>
  </si>
  <si>
    <t>GRT31CR61H106KE01L</t>
    <phoneticPr fontId="17" type="noConversion"/>
  </si>
  <si>
    <t>CC0805KKX7R9BB684</t>
    <phoneticPr fontId="17" type="noConversion"/>
  </si>
  <si>
    <t>RC0402FR-07330RL</t>
    <phoneticPr fontId="17" type="noConversion"/>
  </si>
  <si>
    <r>
      <rPr>
        <sz val="8"/>
        <color rgb="FF000000"/>
        <rFont val="宋体"/>
        <family val="3"/>
        <charset val="134"/>
      </rPr>
      <t>已收到</t>
    </r>
    <r>
      <rPr>
        <sz val="8"/>
        <color rgb="FF000000"/>
        <rFont val="Segoe UI"/>
      </rPr>
      <t xml:space="preserve">  </t>
    </r>
    <r>
      <rPr>
        <sz val="8"/>
        <color rgb="FF000000"/>
        <rFont val="宋体"/>
        <family val="3"/>
        <charset val="134"/>
      </rPr>
      <t>替代料：</t>
    </r>
    <r>
      <rPr>
        <sz val="8"/>
        <color rgb="FF000000"/>
        <rFont val="Segoe UI"/>
      </rPr>
      <t xml:space="preserve">Nexperia\ 2N7002BK </t>
    </r>
    <phoneticPr fontId="17" type="noConversion"/>
  </si>
  <si>
    <t>Nexperia\ 2N7002BK,215</t>
    <phoneticPr fontId="17" type="noConversion"/>
  </si>
  <si>
    <r>
      <rPr>
        <sz val="8"/>
        <color rgb="FF000000"/>
        <rFont val="Segoe UI"/>
      </rPr>
      <t xml:space="preserve">KS ICT </t>
    </r>
    <r>
      <rPr>
        <sz val="8"/>
        <color rgb="FF000000"/>
        <rFont val="宋体"/>
        <family val="3"/>
        <charset val="134"/>
      </rPr>
      <t>已收到样品</t>
    </r>
    <phoneticPr fontId="17" type="noConversion"/>
  </si>
  <si>
    <t>CL21Y475KBBVPNE</t>
    <phoneticPr fontId="17" type="noConversion"/>
  </si>
  <si>
    <t>CQ03WAF0000T5E(替代料)</t>
    <phoneticPr fontId="17" type="noConversion"/>
  </si>
  <si>
    <t>CL10B104KB8WPNC</t>
    <phoneticPr fontId="17" type="noConversion"/>
  </si>
  <si>
    <t>60013-01471-001</t>
    <phoneticPr fontId="17" type="noConversion"/>
  </si>
  <si>
    <t>另外15pcs样品 待确认交期</t>
    <phoneticPr fontId="17" type="noConversion"/>
  </si>
  <si>
    <t>IPW65R048CFDA</t>
    <phoneticPr fontId="17" type="noConversion"/>
  </si>
  <si>
    <t>南京备料</t>
    <phoneticPr fontId="17" type="noConversion"/>
  </si>
  <si>
    <t>南京已买到现货</t>
    <phoneticPr fontId="17" type="noConversion"/>
  </si>
  <si>
    <t>WIC001共用料, 待确认挪用数量</t>
    <phoneticPr fontId="17" type="noConversion"/>
  </si>
  <si>
    <t>Closed</t>
    <phoneticPr fontId="17" type="noConversion"/>
  </si>
  <si>
    <t>AC0603KRX7R9BB103</t>
    <phoneticPr fontId="17" type="noConversion"/>
  </si>
  <si>
    <r>
      <t>30 (PMU</t>
    </r>
    <r>
      <rPr>
        <sz val="8"/>
        <color theme="1"/>
        <rFont val="SimSun"/>
        <family val="3"/>
        <charset val="134"/>
      </rPr>
      <t>板共用料</t>
    </r>
    <r>
      <rPr>
        <sz val="8"/>
        <color theme="1"/>
        <rFont val="Segoe UI Historic"/>
        <family val="2"/>
      </rPr>
      <t>)</t>
    </r>
    <phoneticPr fontId="17" type="noConversion"/>
  </si>
  <si>
    <t>60 (PMU板共用料)</t>
    <phoneticPr fontId="17" type="noConversion"/>
  </si>
  <si>
    <t>PMEG2010BELD</t>
    <phoneticPr fontId="17" type="noConversion"/>
  </si>
  <si>
    <t>1909763-1</t>
    <phoneticPr fontId="17" type="noConversion"/>
  </si>
  <si>
    <t>20+35</t>
    <phoneticPr fontId="17" type="noConversion"/>
  </si>
  <si>
    <t>BSS138BKW,115</t>
    <phoneticPr fontId="17" type="noConversion"/>
  </si>
  <si>
    <t>AC0402FR-0749R9L</t>
    <phoneticPr fontId="17" type="noConversion"/>
  </si>
  <si>
    <t>50 (PMU共用料)</t>
    <phoneticPr fontId="17" type="noConversion"/>
  </si>
  <si>
    <t>15+30</t>
    <phoneticPr fontId="17" type="noConversion"/>
  </si>
  <si>
    <t>RQ73C2B16R5BTD</t>
    <phoneticPr fontId="17" type="noConversion"/>
  </si>
  <si>
    <t>25+45</t>
    <phoneticPr fontId="17" type="noConversion"/>
  </si>
  <si>
    <t>10+10</t>
    <phoneticPr fontId="17" type="noConversion"/>
  </si>
  <si>
    <t>AC0402FR-073K57L</t>
    <phoneticPr fontId="17" type="noConversion"/>
  </si>
  <si>
    <t>AC0402FR-0724KL</t>
    <phoneticPr fontId="17" type="noConversion"/>
  </si>
  <si>
    <t>AC1210FR-0760R4L</t>
    <phoneticPr fontId="17" type="noConversion"/>
  </si>
  <si>
    <t>AC0402FR-076K8L</t>
    <phoneticPr fontId="17" type="noConversion"/>
  </si>
  <si>
    <t>RMS10FT3301</t>
    <phoneticPr fontId="17" type="noConversion"/>
  </si>
  <si>
    <t>RMS06FT1001</t>
    <phoneticPr fontId="17" type="noConversion"/>
  </si>
  <si>
    <t>30 (PMU共用料)</t>
    <phoneticPr fontId="17" type="noConversion"/>
  </si>
  <si>
    <t>RMS12FT2201</t>
    <phoneticPr fontId="17" type="noConversion"/>
  </si>
  <si>
    <t>NCU18XH103F6SRB</t>
    <phoneticPr fontId="17" type="noConversion"/>
  </si>
  <si>
    <r>
      <t>30 (IMN/3pcs</t>
    </r>
    <r>
      <rPr>
        <sz val="8"/>
        <color theme="1"/>
        <rFont val="SimSun"/>
        <family val="3"/>
        <charset val="134"/>
      </rPr>
      <t>+PB/3pcs</t>
    </r>
    <r>
      <rPr>
        <sz val="8"/>
        <color theme="1"/>
        <rFont val="Segoe UI Historic"/>
        <family val="2"/>
      </rPr>
      <t>)</t>
    </r>
    <phoneticPr fontId="17" type="noConversion"/>
  </si>
  <si>
    <t>TS431BIYLT</t>
    <phoneticPr fontId="17" type="noConversion"/>
  </si>
  <si>
    <t>NLV74HC20ADR2G</t>
    <phoneticPr fontId="17" type="noConversion"/>
  </si>
  <si>
    <t>NLV14044BDG</t>
    <phoneticPr fontId="17" type="noConversion"/>
  </si>
  <si>
    <t>SPC5748GHK0AMKU6</t>
    <phoneticPr fontId="17" type="noConversion"/>
  </si>
  <si>
    <t>5+5</t>
    <phoneticPr fontId="17" type="noConversion"/>
  </si>
  <si>
    <t>预留，不备料</t>
    <phoneticPr fontId="17" type="noConversion"/>
  </si>
  <si>
    <r>
      <t>CN600, CN601, CN602, CN603, CN604, CN605, CN805</t>
    </r>
    <r>
      <rPr>
        <sz val="8"/>
        <color rgb="FF000000"/>
        <rFont val="SimSun"/>
        <family val="3"/>
        <charset val="134"/>
      </rPr>
      <t>，</t>
    </r>
    <r>
      <rPr>
        <sz val="8"/>
        <color rgb="FF000000"/>
        <rFont val="Segoe UI Symbol"/>
        <family val="2"/>
      </rPr>
      <t>CN701, CN806</t>
    </r>
    <phoneticPr fontId="17" type="noConversion"/>
  </si>
  <si>
    <t>A2008WV-2P</t>
    <phoneticPr fontId="17" type="noConversion"/>
  </si>
  <si>
    <t>Wafer 180°, 2.0mm Pitch, 2PIN, White, DIP</t>
    <phoneticPr fontId="17" type="noConversion"/>
  </si>
  <si>
    <t>已向CJT代理商申请50pcs A2008WV-2P样品</t>
    <phoneticPr fontId="17" type="noConversion"/>
  </si>
  <si>
    <t>A2008WV-2x3P</t>
    <phoneticPr fontId="17" type="noConversion"/>
  </si>
  <si>
    <t>Wafer 180°, 2.0mm Pitch, Dual Row, 2x3P PIN, White, DIP</t>
    <phoneticPr fontId="17" type="noConversion"/>
  </si>
  <si>
    <t>A2008WV-2x6P</t>
    <phoneticPr fontId="17" type="noConversion"/>
  </si>
  <si>
    <t>Wafer 180°, 2.0mm Pitch, Dual Row, 2x6P PIN, White, DIP</t>
    <phoneticPr fontId="17" type="noConversion"/>
  </si>
  <si>
    <t>已申请8pcs A2008WV-2x3P样品</t>
    <phoneticPr fontId="17" type="noConversion"/>
  </si>
  <si>
    <t>已申请8pcs A2008WV-2x6P样品</t>
    <phoneticPr fontId="17" type="noConversion"/>
  </si>
  <si>
    <t>CN802，CN804</t>
    <phoneticPr fontId="17" type="noConversion"/>
  </si>
  <si>
    <t>A2008WV-4P</t>
    <phoneticPr fontId="17" type="noConversion"/>
  </si>
  <si>
    <t>Wafer 180°, 2.0mm Pitch, 4PIN, White, DIP</t>
    <phoneticPr fontId="17" type="noConversion"/>
  </si>
  <si>
    <t>已申请15pcs A2008WV-4P样品</t>
    <phoneticPr fontId="17" type="noConversion"/>
  </si>
  <si>
    <t>A2541WV-2P</t>
    <phoneticPr fontId="17" type="noConversion"/>
  </si>
  <si>
    <t>Header, 2.54mm Pitch, 2PIN, Black, DIP</t>
    <phoneticPr fontId="17" type="noConversion"/>
  </si>
  <si>
    <t>已申请8pcs A2541WV-2P样品</t>
    <phoneticPr fontId="17" type="noConversion"/>
  </si>
  <si>
    <t>CJT</t>
    <phoneticPr fontId="17" type="noConversion"/>
  </si>
  <si>
    <t>GCM1555C1H100JA16D</t>
    <phoneticPr fontId="17" type="noConversion"/>
  </si>
  <si>
    <t>GCM1555C1H120JA16D</t>
    <phoneticPr fontId="17" type="noConversion"/>
  </si>
  <si>
    <t>J115F11CH12VDCS61.5</t>
    <phoneticPr fontId="17" type="noConversion"/>
  </si>
  <si>
    <t>ADA4891-2WARMZ-R7</t>
    <phoneticPr fontId="17" type="noConversion"/>
  </si>
  <si>
    <t>13681-S090001H-00</t>
    <phoneticPr fontId="17" type="noConversion"/>
  </si>
  <si>
    <t>ADUM5200WCRWZ</t>
    <phoneticPr fontId="17" type="noConversion"/>
  </si>
  <si>
    <t>136B4-S090004H-00</t>
    <phoneticPr fontId="17" type="noConversion"/>
  </si>
  <si>
    <t>13100-S002481H-00</t>
    <phoneticPr fontId="17" type="noConversion"/>
  </si>
  <si>
    <t>136B7-S010005H-00</t>
    <phoneticPr fontId="27" type="noConversion"/>
  </si>
  <si>
    <t>MC33FS6523CAER2</t>
    <phoneticPr fontId="27" type="noConversion"/>
  </si>
  <si>
    <t>IC PMU MC33FS6523CAER2 HLQFP-48</t>
    <phoneticPr fontId="27" type="noConversion"/>
  </si>
  <si>
    <t>U1</t>
  </si>
  <si>
    <t>LQFP48_7X7X05P_EP</t>
  </si>
  <si>
    <t>CAP CER 10uF 10% 25V X7R 0805 SMD</t>
    <phoneticPr fontId="17" type="noConversion"/>
  </si>
  <si>
    <t>C422, C540,C938,  C424, C429</t>
    <phoneticPr fontId="17" type="noConversion"/>
  </si>
  <si>
    <t>EMK316AB7106KL-T</t>
    <phoneticPr fontId="17" type="noConversion"/>
  </si>
  <si>
    <t>C852</t>
  </si>
  <si>
    <t>13100-S02001HH-00</t>
    <phoneticPr fontId="17" type="noConversion"/>
  </si>
  <si>
    <t>CC1206JKNPOYBN392</t>
    <phoneticPr fontId="17" type="noConversion"/>
  </si>
  <si>
    <t>3.9nF/250V/5%/NP0/1206</t>
  </si>
  <si>
    <t>CAP CER 3.9nF 5% 250V NP0 1206 SMD</t>
  </si>
  <si>
    <t>C851, C856, C870</t>
    <phoneticPr fontId="17" type="noConversion"/>
  </si>
  <si>
    <t>YAGEO</t>
    <phoneticPr fontId="17" type="noConversion"/>
  </si>
  <si>
    <t>On-going</t>
    <phoneticPr fontId="17" type="noConversion"/>
  </si>
  <si>
    <t>13104-D0S0002H-00</t>
    <phoneticPr fontId="17" type="noConversion"/>
  </si>
  <si>
    <t>R413F11000000K</t>
  </si>
  <si>
    <t>1000pF 1000V 10%</t>
  </si>
  <si>
    <t>CAP FILM 1000pF 1000V 10% 13mm*9mm*4mm(W*H*L) P=10mm d=0.6mm AEC-Q200 DIP</t>
  </si>
  <si>
    <t>C342, C354, C370, C371</t>
  </si>
  <si>
    <t>13100-S040237H-00</t>
    <phoneticPr fontId="17" type="noConversion"/>
  </si>
  <si>
    <t>CGA5L4C0G2J103JT0Y0N</t>
    <phoneticPr fontId="17" type="noConversion"/>
  </si>
  <si>
    <t>10nF 5%</t>
    <phoneticPr fontId="17" type="noConversion"/>
  </si>
  <si>
    <t>CAP CER 10nF 630V 5% C0G/NP0 1206 AEC-Q200 SMD</t>
  </si>
  <si>
    <t>CFA_C1, CFA_C2, CFA_C3, CFA_C4, CFA_C5, CFA_C6, CFA_C7, CFA_C8, CFA_C9, CFA_C10, CFA_C11, CFA_C12, CFA_C13, CFA_C14, CFA_C15, CFA_C16, CFA_C17, CFA_C18, CFA_C19, CFA_C20, CFA_C21, CFA_C22, CFA_C23, CFA_C24, CFA_C25, CFA_C26, CFA_C27, CFA_C28, CFA_C29, CFA_C30, CFA_C31, CFA_C32, CFA_C33, CFA_C34, CFA_C35, CFA_C36, CFA_C37, CFA_C38, CFA_C39, CFA_C40, CFA_C41, CFA_C42, CFA_C43, CFA_C44, CFA_C45, CFA_C46, CFA_C47, CFA_C48, CFA_C49, CFA_C50, CFA_C51, CFA_C52, CFA_C53, CFA_C54, CFA_C55, CFA_C56, CFA_C57, CFA_C58, CFA_C59, CFA_C60, CFA_C61, CFA_C62, CFA_C63, CFA_C64, CFA_C65, CFA_C66, CFA_C67, CFA_C68, CFA_C69, CFA_C70, CFA_C71, CFA_C72, CFA_C73, CFA_C74, CFA_C75, CFA_C76, CFA_C77, CFA_C78, CFB_C1, CFB_C2, CFB_C3, CFB_C4, CFB_C5, CFB_C6, CFB_C7, CFB_C8, CFB_C9, CFB_C10, CFB_C11, CFB_C12, CFB_C13, CFB_C14, CFB_C15, CFB_C16, CFB_C17, CFB_C18, CFB_C19, CFB_C20, CFB_C21, CFB_C22, CFB_C23, CFB_C24, CFB_C25, CFB_C26, CFB_C27, CFB_C28, CFB_C29, CFB_C30, CFB_C31, CFB_C32, CFB_C33, CFB_C34, CFB_C35, CFB_C36, CFB_C37, CFB_C38, CFB_C39, CFB_C41, CFB_C42, CFB_C43, CFB_C44, CFB_C45, CFB_C46, CFB_C47, CFB_C48, CFB_C49, CFB_C50, CFB_C51, CFB_C52, CFB_C53, CFB_C54, CFB_C55, CFB_C56, CFB_C57, CFB_C58, CFB_C59, CFB_C60, CFB_C61, CFB_C62, CFB_C63, CFB_C64, CFB_C65, CFB_C66, CFB_C67, CFB_C68, CFB_C69, CFB_C70, CFB_C71, CFB_C72, CFB_C73, CFB_C74, CFB_C75, CFB_C76, CFB_C77, CFB_C78, CFC_C1, CFC_C2, CFC_C3, CFC_C4, CFC_C5, CFC_C6, CFC_C7, CFC_C8, CFC_C9, CFC_C10, CFC_C11, CFC_C12, CFC_C13, CFC_C14, CFC_C15, CFC_C16, CFC_C17, CFC_C18, CFC_C19, CFC_C20, CFC_C21, CFC_C22, CFC_C23, CFC_C24, CFC_C25, CFC_C26, CFC_C27, CFC_C28, CFC_C29, CFC_C30, CFC_C31, CFC_C32, CFC_C33, CFC_C34, CFC_C35, CFC_C36, CFC_C37, CFC_C38, CFC_C39, CFC_C41, CFC_C42, CFC_C43, CFC_C44, CFC_C45, CFC_C46, CFC_C47, CFC_C48, CFC_C49, CFC_C50, CFC_C51, CFC_C52, CFC_C53, CFC_C54, CFC_C55, CFC_C56, CFC_C57, CFC_C58, CFC_C59, CFC_C60, CFC_C61, CFC_C62, CFC_C63, CFC_C64, CFC_C65, CFC_C66, CFC_C67, CFC_C68, CFC_C69, CFC_C70, CFC_C71, CFC_C72, CFC_C73, CFC_C74, CFC_C75, CFC_C76, CFC_C77, CFC_C78, CFD_C1, CFD_C2, CFD_C3, CFD_C4, CFD_C5, CFD_C6, CFD_C7, CFD_C8, CFD_C9, CFD_C10, CFD_C11, CFD_C12, CFD_C13, CFD_C14, CFD_C15, CFD_C16, CFD_C17, CFD_C18, CFD_C19, CFD_C20, CFD_C21, CFD_C22, CFD_C23, CFD_C24, CFD_C25, CFD_C26, CFD_C27, CFD_C28, CFD_C29, CFD_C30, CFD_C31, CFD_C32, CFD_C33, CFD_C34, CFD_C35, CFD_C36, CFD_C37, CFD_C38, CFD_C39, CFD_C41, CFD_C42, CFD_C43, CFD_C44, CFD_C45, CFD_C46, CFD_C47, CFD_C48, CFD_C49, CFD_C50, CFD_C51, CFD_C52, CFD_C53, CFD_C54, CFD_C55, CFD_C56, CFD_C57, CFD_C58, CFD_C59, CFD_C60, CFD_C61, CFD_C62, CFD_C63, CFD_C64, CFD_C65, CFD_C66, CFD_C67, CFD_C68, CFD_C69, CFD_C70, CFD_C71, CFD_C72, CFD_C73, CFD_C74, CFD_C75, CFD_C76, CFD_C77, CFD_C78, CSAa_C1, CSAa_C2, CSAa_C3, CSAa_C4, CSAa_C5, CSAa_C6, CSAa_C7, CSAa_C8, CSAa_C9, CSAa_C10, CSAa_C11, CSAa_C12, CSAa_C13, CSAa_C14, CSAa_C15, CSAa_C16, CSAa_C17, CSAa_C18, CSAa_C19, CSAa_C20, CSAa_C21, CSAa_C22, CSAa_C23, CSAa_C24, CSAa_C25, CSAa_C26, CSAa_C27, CSAa_C31, CSAa_C32, CSAa_C33, CSAa_C34, CSAa_C35, CSAa_C36, CSAa_C37, CSAa_C38, CSAa_C39, CSAa_C40, CSAa_C41, CSAa_C42, CSAa_C43, CSAa_C44, CSAa_C45, CSAa_C46, CSAa_C47, CSAa_C48, CSAa_C49, CSAa_C50, CSAa_C51, CSAa_C52, CSAa_C53, CSAa_C54, CSAa_C55, CSAb_C1, CSAb_C2, CSAb_C3, CSAb_C4, CSAb_C5, CSAb_C6, CSAb_C7, CSAb_C8, CSAb_C9, CSAb_C10, CSAb_C11, CSAb_C12, CSAb_C13, CSAb_C14, CSAb_C15, CSAb_C16, CSAb_C17, CSAb_C18, CSAb_C19, CSAb_C20, CSAb_C21, CSAb_C22, CSAb_C23, CSAb_C24, CSAb_C25, CSAb_C26, CSAb_C27, CSAb_C31, CSAb_C32, CSAb_C33, CSAb_C34, CSAb_C35, CSAb_C36, CSAb_C37, CSAb_C38, CSAb_C39, CSAb_C40, CSAb_C41, CSAb_C42, CSAb_C43, CSAb_C44, CSAb_C45, CSAb_C46, CSAb_C47, CSAb_C48, CSAb_C49, CSAb_C50, CSAb_C51, CSAb_C52, CSAb_C53, CSAb_C54, CSAb_C55, CSAc_C1, CSAc_C2, CSAc_C3, CSAc_C4, CSAc_C5, CSAc_C6, CSAc_C7, CSAc_C8, CSAc_C9, CSAc_C10, CSAc_C11, CSAc_C12, CSAc_C13, CSAc_C14, CSAc_C15, CSAc_C16, CSAc_C17, CSAc_C18, CSAc_C19, CSAc_C20, CSAc_C21, CSAc_C22, CSAc_C23, CSAc_C24, CSAc_C25, CSAc_C26, CSAc_C27, CSAc_C31, CSAc_C32, CSAc_C33, CSAc_C34, CSAc_C35, CSAc_C36, CSAc_C37, CSAc_C38, CSAc_C39, CSAc_C40, CSAc_C41, CSAc_C42, CSAc_C43, CSAc_C44, CSAc_C45, CSAc_C46, CSAc_C47, CSAc_C48, CSAc_C49, CSAc_C50, CSAc_C51, CSAc_C52, CSAc_C53, CSAc_C54, CSAc_C55, CSAd_C1, CSAd_C2, CSAd_C3, CSAd_C4, CSAd_C5, CSAd_C6, CSAd_C7, CSAd_C8, CSAd_C9, CSAd_C10, CSAd_C11, CSAd_C12, CSAd_C13, CSAd_C14, CSAd_C15, CSAd_C16, CSAd_C17, CSAd_C18, CSAd_C19, CSAd_C20, CSAd_C21, CSAd_C22, CSAd_C23, CSAd_C24, CSAd_C25, CSAd_C26, CSAd_C27, CSAd_C31, CSAd_C32, CSAd_C33, CSAd_C34, CSAd_C35, CSAd_C36, CSAd_C37, CSAd_C38, CSAd_C39, CSAd_C40, CSAd_C41, CSAd_C42, CSAd_C43, CSAd_C44, CSAd_C45, CSAd_C46, CSAd_C47, CSAd_C48, CSAd_C49, CSAd_C50, CSAd_C51, CSAd_C52, CSAd_C53, CSAd_C54, CSAd_C55, CSAe_C1, CSAe_C2, CSAe_C3, CSAe_C4, CSAe_C5, CSAe_C6, CSAe_C7, CSAe_C8, CSAe_C9, CSAe_C10, CSAe_C11, CSAe_C12, CSAe_C13, CSAe_C14, CSAe_C15, CSAe_C16, CSAe_C17, CSAe_C18, CSAe_C19, CSAe_C20, CSAe_C21, CSAe_C22, CSAe_C23, CSAe_C24, CSAe_C25, CSAe_C26, CSAe_C27, CSAe_C31, CSAe_C32, CSAe_C33, CSAe_C34, CSAe_C35, CSAe_C36, CSAe_C37, CSAe_C38, CSAe_C39, CSAe_C40, CSAe_C41, CSAe_C42, CSAe_C43, CSAe_C44, CSAe_C45, CSAe_C46, CSAe_C47, CSAe_C48, CSAe_C49, CSAe_C50, CSAe_C51, CSAe_C52, CSAe_C53, CSAe_C54, CSAe_C55, CSAf_C1, CSAf_C2, CSAf_C3, CSAf_C4, CSAf_C5, CSAf_C6, CSAf_C7, CSAf_C8, CSAf_C9, CSAf_C10, CSAf_C11, CSAf_C12, CSAf_C13, CSAf_C14, CSAf_C15, CSAf_C16, CSAf_C17, CSAf_C18, CSAf_C19, CSAf_C20, CSAf_C21, CSAf_C22, CSAf_C23, CSAf_C24, CSAf_C25, CSAf_C26, CSAf_C27, CSAf_C31, CSAf_C32, CSAf_C33, CSAf_C34, CSAf_C35, CSAf_C36, CSAf_C37, CSAf_C38, CSAf_C39, CSAf_C40, CSAf_C41, CSAf_C42, CSAf_C43, CSAf_C44, CSAf_C45, CSAf_C46, CSAf_C47, CSAf_C48, CSAf_C49, CSAf_C50, CSAf_C51, CSAf_C52, CSAf_C53, CSAf_C54, CSAf_C55, CSBa_C1, CSBa_C2, CSBa_C3, CSBa_C4, CSBa_C5, CSBa_C6, CSBa_C7, CSBa_C8, CSBa_C9, CSBa_C10, CSBa_C11, CSBa_C12, CSBa_C13, CSBa_C14, CSBa_C15, CSBa_C16, CSBa_C17, CSBa_C18, CSBa_C19, CSBa_C20, CSBa_C21, CSBa_C22, CSBa_C23, CSBa_C24, CSBa_C25, CSBa_C26, CSBa_C27, CSBa_C31, CSBa_C32, CSBa_C33, CSBa_C34, CSBa_C35, CSBa_C36, CSBa_C37, CSBa_C38, CSBa_C39, CSBa_C40, CSBa_C41, CSBa_C42, CSBa_C43, CSBa_C44, CSBa_C45, CSBa_C46, CSBa_C47, CSBa_C48, CSBa_C49, CSBa_C50, CSBa_C51, CSBa_C52, CSBa_C53, CSBa_C54, CSBa_C55, CSBb_C1, CSBb_C2, CSBb_C3, CSBb_C4, CSBb_C5, CSBb_C6, CSBb_C7, CSBb_C8, CSBb_C9, CSBb_C10, CSBb_C11, CSBb_C12, CSBb_C13, CSBb_C14, CSBb_C15, CSBb_C16, CSBb_C17, CSBb_C18, CSBb_C19, CSBb_C20, CSBb_C21, CSBb_C22, CSBb_C23, CSBb_C24, CSBb_C25, CSBb_C26, CSBb_C27, CSBb_C31, CSBb_C32, CSBb_C33, CSBb_C34, CSBb_C35, CSBb_C36, CSBb_C37, CSBb_C38, CSBb_C39, CSBb_C40, CSBb_C41, CSBb_C42, CSBb_C43, CSBb_C44, CSBb_C45, CSBb_C46, CSBb_C47, CSBb_C48, CSBb_C49, CSBb_C50, CSBb_C51, CSBb_C52, CSBb_C53, CSBb_C54, CSBb_C55, CSBc_C1, CSBc_C2, CSBc_C3, CSBc_C4, CSBc_C5, CSBc_C6, CSBc_C7, CSBc_C8, CSBc_C9, CSBc_C10, CSBc_C11, CSBc_C12, CSBc_C13, CSBc_C14, CSBc_C15, CSBc_C16, CSBc_C17, CSBc_C18, CSBc_C19, CSBc_C20, CSBc_C21, CSBc_C22, CSBc_C23, CSBc_C24, CSBc_C25, CSBc_C26, CSBc_C27, CSBc_C31, CSBc_C32, CSBc_C33, CSBc_C34, CSBc_C35, CSBc_C36, CSBc_C37, CSBc_C38, CSBc_C39, CSBc_C40, CSBc_C41, CSBc_C42, CSBc_C43, CSBc_C44, CSBc_C45, CSBc_C46, CSBc_C47, CSBc_C48, CSBc_C49, CSBc_C50, CSBc_C51, CSBc_C52, CSBc_C53, CSBc_C54, CSBc_C55, CSBd_C1, CSBd_C2, CSBd_C3, CSBd_C4, CSBd_C5, CSBd_C6, CSBd_C7, CSBd_C8, CSBd_C9, CSBd_C10, CSBd_C11, CSBd_C12, CSBd_C13, CSBd_C14, CSBd_C15, CSBd_C16, CSBd_C17, CSBd_C18, CSBd_C19, CSBd_C20, CSBd_C21, CSBd_C22, CSBd_C23, CSBd_C24, CSBd_C25, CSBd_C26, CSBd_C27, CSBd_C31, CSBd_C32, CSBd_C33, CSBd_C34, CSBd_C35, CSBd_C36, CSBd_C37, CSBd_C38, CSBd_C39, CSBd_C40, CSBd_C41, CSBd_C42, CSBd_C43, CSBd_C44, CSBd_C45, CSBd_C46, CSBd_C47, CSBd_C48, CSBd_C49, CSBd_C50, CSBd_C51, CSBd_C52, CSBd_C53, CSBd_C54, CSBd_C55, CSBe_C1, CSBe_C2, CSBe_C3, CSBe_C4, CSBe_C5, CSBe_C6, CSBe_C7, CSBe_C8, CSBe_C9, CSBe_C10, CSBe_C11, CSBe_C12, CSBe_C13, CSBe_C14, CSBe_C15, CSBe_C16, CSBe_C17, CSBe_C18, CSBe_C19, CSBe_C20, CSBe_C21, CSBe_C22, CSBe_C23, CSBe_C24, CSBe_C25, CSBe_C26, CSBe_C27, CSBe_C31, CSBe_C32, CSBe_C33, CSBe_C34, CSBe_C35, CSBe_C36, CSBe_C37, CSBe_C38, CSBe_C39, CSBe_C40, CSBe_C41, CSBe_C42, CSBe_C43, CSBe_C44, CSBe_C45, CSBe_C46, CSBe_C47, CSBe_C48, CSBe_C49, CSBe_C50, CSBe_C51, CSBe_C52, CSBe_C53, CSBe_C54, CSBe_C55, CSBf_C1, CSBf_C2, CSBf_C3, CSBf_C4, CSBf_C5, CSBf_C6, CSBf_C7, CSBf_C8, CSBf_C9, CSBf_C10, CSBf_C11, CSBf_C12, CSBf_C13, CSBf_C14, CSBf_C15, CSBf_C16, CSBf_C17, CSBf_C18, CSBf_C19, CSBf_C20, CSBf_C21, CSBf_C22, CSBf_C23, CSBf_C24, CSBf_C25, CSBf_C26, CSBf_C27, CSBf_C31, CSBf_C32, CSBf_C33, CSBf_C34, CSBf_C35, CSBf_C36, CSBf_C37, CSBf_C38, CSBf_C39, CSBf_C40, CSBf_C41, CSBf_C42, CSBf_C43, CSBf_C44, CSBf_C45, CSBf_C46, CSBf_C47, CSBf_C48, CSBf_C49, CSBf_C50, CSBf_C51, CSBf_C52, CSBf_C53, CSBf_C54, CSBf_C55</t>
  </si>
  <si>
    <t>13201-S090030H-00</t>
    <phoneticPr fontId="17" type="noConversion"/>
  </si>
  <si>
    <t>1008CS-222XGL</t>
    <phoneticPr fontId="17" type="noConversion"/>
  </si>
  <si>
    <t>2.2uH 2%</t>
  </si>
  <si>
    <t>Inductor 2.2uH 2%</t>
  </si>
  <si>
    <t>L15, L16, L18, L19</t>
  </si>
  <si>
    <t>Coilcraft Inc</t>
  </si>
  <si>
    <t>13201-S090032H-00</t>
    <phoneticPr fontId="17" type="noConversion"/>
  </si>
  <si>
    <t>1008CS-122XGLC</t>
    <phoneticPr fontId="17" type="noConversion"/>
  </si>
  <si>
    <t>1.2uH 2%</t>
  </si>
  <si>
    <t>Inductor 1.2uH 2%</t>
  </si>
  <si>
    <t>L17, L20</t>
  </si>
  <si>
    <t>13203-S090002H-00</t>
    <phoneticPr fontId="17" type="noConversion"/>
  </si>
  <si>
    <t>CST3015-200E</t>
    <phoneticPr fontId="17" type="noConversion"/>
  </si>
  <si>
    <t>1:200,100A</t>
  </si>
  <si>
    <t>Transformer, Current Sense, 2KHZ~1MHZ, CST3015, 1:200, 100A</t>
  </si>
  <si>
    <t>T3</t>
  </si>
  <si>
    <t>Coilcraft</t>
  </si>
  <si>
    <t>13001-S070023H-00</t>
    <phoneticPr fontId="17" type="noConversion"/>
  </si>
  <si>
    <t>NTC 10K</t>
    <phoneticPr fontId="17" type="noConversion"/>
  </si>
  <si>
    <t>TH3</t>
    <phoneticPr fontId="17" type="noConversion"/>
  </si>
  <si>
    <t>CN1, CN2</t>
    <phoneticPr fontId="17" type="noConversion"/>
  </si>
  <si>
    <t>LFPE0103</t>
  </si>
  <si>
    <t>J1, J2, J3, J4</t>
    <phoneticPr fontId="17" type="noConversion"/>
  </si>
  <si>
    <r>
      <t>排针，黑色，双排，间距：</t>
    </r>
    <r>
      <rPr>
        <sz val="8"/>
        <color rgb="FF000000"/>
        <rFont val="Segoe UI"/>
      </rPr>
      <t>1.27mm</t>
    </r>
    <r>
      <rPr>
        <sz val="8"/>
        <color rgb="FF000000"/>
        <rFont val="SimSun"/>
        <family val="3"/>
        <charset val="134"/>
      </rPr>
      <t>，</t>
    </r>
    <r>
      <rPr>
        <sz val="8"/>
        <color rgb="FF000000"/>
        <rFont val="Segoe UI"/>
      </rPr>
      <t>2*7P</t>
    </r>
    <r>
      <rPr>
        <sz val="8"/>
        <color rgb="FF000000"/>
        <rFont val="SimSun"/>
        <family val="3"/>
        <charset val="134"/>
      </rPr>
      <t>，方针，</t>
    </r>
    <r>
      <rPr>
        <sz val="8"/>
        <color rgb="FF000000"/>
        <rFont val="Segoe UI"/>
      </rPr>
      <t>1A</t>
    </r>
    <r>
      <rPr>
        <sz val="8"/>
        <color rgb="FF000000"/>
        <rFont val="SimSun"/>
        <family val="3"/>
        <charset val="134"/>
      </rPr>
      <t>，</t>
    </r>
    <r>
      <rPr>
        <sz val="8"/>
        <color rgb="FF000000"/>
        <rFont val="Segoe UI"/>
      </rPr>
      <t xml:space="preserve">250V </t>
    </r>
    <r>
      <rPr>
        <sz val="8"/>
        <color rgb="FF000000"/>
        <rFont val="SimSun"/>
        <family val="3"/>
        <charset val="134"/>
      </rPr>
      <t>，立贴</t>
    </r>
  </si>
  <si>
    <r>
      <t>NTC,10k 1% 3434K@(25/85</t>
    </r>
    <r>
      <rPr>
        <sz val="8"/>
        <color rgb="FF000000"/>
        <rFont val="宋体"/>
        <family val="3"/>
        <charset val="134"/>
      </rPr>
      <t>℃</t>
    </r>
    <r>
      <rPr>
        <sz val="8"/>
        <color rgb="FF000000"/>
        <rFont val="Segoe UI Historic"/>
        <family val="2"/>
      </rPr>
      <t>) -40</t>
    </r>
    <r>
      <rPr>
        <sz val="8"/>
        <color rgb="FF000000"/>
        <rFont val="宋体"/>
        <family val="3"/>
        <charset val="134"/>
      </rPr>
      <t>℃</t>
    </r>
    <r>
      <rPr>
        <sz val="8"/>
        <color rgb="FF000000"/>
        <rFont val="Segoe UI Historic"/>
        <family val="2"/>
      </rPr>
      <t xml:space="preserve"> to 150</t>
    </r>
    <r>
      <rPr>
        <sz val="8"/>
        <color rgb="FF000000"/>
        <rFont val="宋体"/>
        <family val="3"/>
        <charset val="134"/>
      </rPr>
      <t>℃</t>
    </r>
    <r>
      <rPr>
        <sz val="8"/>
        <color rgb="FF000000"/>
        <rFont val="Segoe UI Historic"/>
        <family val="2"/>
      </rPr>
      <t xml:space="preserve"> 0603 RoHS AEC-Q200 SMD</t>
    </r>
  </si>
  <si>
    <r>
      <rPr>
        <sz val="8"/>
        <color rgb="FF000000"/>
        <rFont val="宋体"/>
        <family val="3"/>
        <charset val="134"/>
      </rPr>
      <t>连接件，</t>
    </r>
    <r>
      <rPr>
        <sz val="8"/>
        <color rgb="FF000000"/>
        <rFont val="Segoe UI Historic"/>
        <family val="2"/>
      </rPr>
      <t>LFPE0103</t>
    </r>
  </si>
  <si>
    <r>
      <rPr>
        <sz val="8"/>
        <color rgb="FF000000"/>
        <rFont val="宋体"/>
        <family val="3"/>
        <charset val="134"/>
      </rPr>
      <t>深圳力帆</t>
    </r>
  </si>
  <si>
    <t>Item</t>
    <phoneticPr fontId="27" type="noConversion"/>
  </si>
  <si>
    <t>ICT PN</t>
    <phoneticPr fontId="27" type="noConversion"/>
  </si>
  <si>
    <t>MPN</t>
    <phoneticPr fontId="27" type="noConversion"/>
  </si>
  <si>
    <t>Vendor</t>
    <phoneticPr fontId="27" type="noConversion"/>
  </si>
  <si>
    <t>Demand Qty</t>
    <phoneticPr fontId="27" type="noConversion"/>
  </si>
  <si>
    <t>Mark</t>
    <phoneticPr fontId="27" type="noConversion"/>
  </si>
  <si>
    <t>13100-S010500H-00</t>
    <phoneticPr fontId="27" type="noConversion"/>
  </si>
  <si>
    <t>CL10B104KB8WPNC</t>
    <phoneticPr fontId="27" type="noConversion"/>
  </si>
  <si>
    <t>0.1uF 10% 50V X7R 0603</t>
    <phoneticPr fontId="27" type="noConversion"/>
  </si>
  <si>
    <t>CAP CER 0.1uF 10% 50V X7R 0603 SMD</t>
    <phoneticPr fontId="27" type="noConversion"/>
  </si>
  <si>
    <t>C20, C23, C26, C27, C31, C42, C43</t>
  </si>
  <si>
    <t>SAMSUNG</t>
    <phoneticPr fontId="27" type="noConversion"/>
  </si>
  <si>
    <t>样品已收到</t>
    <phoneticPr fontId="27" type="noConversion"/>
  </si>
  <si>
    <t>13100-S010443H-00</t>
    <phoneticPr fontId="27" type="noConversion"/>
  </si>
  <si>
    <t>CL31A226KAHNNNE</t>
    <phoneticPr fontId="27" type="noConversion"/>
  </si>
  <si>
    <t>22uF 10% 25V X5R 1206</t>
    <phoneticPr fontId="27" type="noConversion"/>
  </si>
  <si>
    <t>CAP CER 22uF 10% 25V X5R 1206 SMD</t>
    <phoneticPr fontId="27" type="noConversion"/>
  </si>
  <si>
    <t>C21, C22, C30</t>
  </si>
  <si>
    <t>13100-S060026H-00</t>
    <phoneticPr fontId="27" type="noConversion"/>
  </si>
  <si>
    <t>06035C681K4Z2A</t>
    <phoneticPr fontId="27" type="noConversion"/>
  </si>
  <si>
    <t>680pF 10% 50V X7R 0603</t>
    <phoneticPr fontId="27" type="noConversion"/>
  </si>
  <si>
    <t>CAP CER 680pF 10% 50V X7R 0603 SMD</t>
    <phoneticPr fontId="27" type="noConversion"/>
  </si>
  <si>
    <t>Kyocera</t>
  </si>
  <si>
    <t>13100-S010497H-00</t>
    <phoneticPr fontId="27" type="noConversion"/>
  </si>
  <si>
    <t>CL21Y475KBBVPNE</t>
    <phoneticPr fontId="27" type="noConversion"/>
  </si>
  <si>
    <t>4.7uF 10% 50V X7S 0805</t>
    <phoneticPr fontId="27" type="noConversion"/>
  </si>
  <si>
    <t>CAP CER 4.7uF 10% 50V X7S 0805 SMD</t>
    <phoneticPr fontId="27" type="noConversion"/>
  </si>
  <si>
    <t>C25, C29, C38, C40</t>
  </si>
  <si>
    <t>13101-S0H0005H-00</t>
    <phoneticPr fontId="27" type="noConversion"/>
  </si>
  <si>
    <t>220uF 20% 50V</t>
    <phoneticPr fontId="27" type="noConversion"/>
  </si>
  <si>
    <t>CAP AL 220F 20% 50V</t>
    <phoneticPr fontId="27" type="noConversion"/>
  </si>
  <si>
    <t>C28</t>
    <phoneticPr fontId="27" type="noConversion"/>
  </si>
  <si>
    <t>C_8X10.2MM_CAP</t>
  </si>
  <si>
    <t>United Chemi-Con Inc</t>
    <phoneticPr fontId="27" type="noConversion"/>
  </si>
  <si>
    <t>13100-S010511H-00</t>
    <phoneticPr fontId="27" type="noConversion"/>
  </si>
  <si>
    <t>CL10C150JC81PNC</t>
    <phoneticPr fontId="27" type="noConversion"/>
  </si>
  <si>
    <t xml:space="preserve">15pF 5% 100V </t>
    <phoneticPr fontId="27" type="noConversion"/>
  </si>
  <si>
    <t>CAP CER 15pF 5% 100V C0G 0603 SMD</t>
    <phoneticPr fontId="27" type="noConversion"/>
  </si>
  <si>
    <t>C34</t>
  </si>
  <si>
    <t>13100-S0S0110H-00</t>
    <phoneticPr fontId="27" type="noConversion"/>
  </si>
  <si>
    <t>C0603C151G5HACAUTO</t>
    <phoneticPr fontId="27" type="noConversion"/>
  </si>
  <si>
    <t>150pF 2% 50V</t>
    <phoneticPr fontId="27" type="noConversion"/>
  </si>
  <si>
    <t>CAP CER 150pF 2% 50V X8R 0603 SMD</t>
    <phoneticPr fontId="27" type="noConversion"/>
  </si>
  <si>
    <t>C35</t>
  </si>
  <si>
    <r>
      <t>KEMET(</t>
    </r>
    <r>
      <rPr>
        <sz val="8"/>
        <color rgb="FF000000"/>
        <rFont val="宋体"/>
        <family val="2"/>
        <charset val="134"/>
      </rPr>
      <t>基美</t>
    </r>
    <r>
      <rPr>
        <sz val="8"/>
        <color rgb="FF000000"/>
        <rFont val="Calibri"/>
        <family val="2"/>
      </rPr>
      <t>)</t>
    </r>
    <phoneticPr fontId="27" type="noConversion"/>
  </si>
  <si>
    <t>13100-S050093H-00</t>
    <phoneticPr fontId="27" type="noConversion"/>
  </si>
  <si>
    <t>UMK107ABJ105KAHT</t>
    <phoneticPr fontId="27" type="noConversion"/>
  </si>
  <si>
    <t>1uF 10% 50V</t>
    <phoneticPr fontId="27" type="noConversion"/>
  </si>
  <si>
    <t>CAP CER 1uF 10% 50V X5R 0603 SMD</t>
    <phoneticPr fontId="27" type="noConversion"/>
  </si>
  <si>
    <t>C36, C41, C47</t>
  </si>
  <si>
    <t>TAIYO YUDEN</t>
    <phoneticPr fontId="27" type="noConversion"/>
  </si>
  <si>
    <t>13100-S001422H-00</t>
    <phoneticPr fontId="27" type="noConversion"/>
  </si>
  <si>
    <t>GCM1555C1H331FA16D</t>
    <phoneticPr fontId="27" type="noConversion"/>
  </si>
  <si>
    <t>330pF 1% 50V</t>
    <phoneticPr fontId="27" type="noConversion"/>
  </si>
  <si>
    <t>CAP CER 330pF 1% 50V C0G/NPO 0402 SMD</t>
    <phoneticPr fontId="27" type="noConversion"/>
  </si>
  <si>
    <t>C37</t>
  </si>
  <si>
    <t>Murata</t>
    <phoneticPr fontId="27" type="noConversion"/>
  </si>
  <si>
    <t>13100-S050282H-00</t>
    <phoneticPr fontId="27" type="noConversion"/>
  </si>
  <si>
    <t>UMK107B7474KAHTE</t>
    <phoneticPr fontId="27" type="noConversion"/>
  </si>
  <si>
    <t xml:space="preserve">0.47uF 10% 50V </t>
    <phoneticPr fontId="27" type="noConversion"/>
  </si>
  <si>
    <t xml:space="preserve">CAP CER 0.47uF 10% 50V X7R 0603 SMD </t>
    <phoneticPr fontId="27" type="noConversion"/>
  </si>
  <si>
    <t>C39, C368</t>
  </si>
  <si>
    <t>13100-S020796H-00</t>
    <phoneticPr fontId="27" type="noConversion"/>
  </si>
  <si>
    <t xml:space="preserve">AC0603KRX7R9BB103 </t>
    <phoneticPr fontId="27" type="noConversion"/>
  </si>
  <si>
    <t>0.01uF/50V/10%</t>
    <phoneticPr fontId="27" type="noConversion"/>
  </si>
  <si>
    <t>CAP CER 0.01uF 10% 50V X7R 0603 SMD</t>
    <phoneticPr fontId="27" type="noConversion"/>
  </si>
  <si>
    <t>C44, C367</t>
  </si>
  <si>
    <r>
      <t>YAGEO(</t>
    </r>
    <r>
      <rPr>
        <sz val="8"/>
        <color rgb="FF000000"/>
        <rFont val="宋体"/>
        <family val="3"/>
        <charset val="134"/>
      </rPr>
      <t>国巨</t>
    </r>
    <r>
      <rPr>
        <sz val="8"/>
        <color rgb="FF000000"/>
        <rFont val="Calibri"/>
        <family val="2"/>
      </rPr>
      <t xml:space="preserve">) </t>
    </r>
    <phoneticPr fontId="27" type="noConversion"/>
  </si>
  <si>
    <t>13100-S001447H-00</t>
    <phoneticPr fontId="27" type="noConversion"/>
  </si>
  <si>
    <t>GCM155R72A102JA37D</t>
    <phoneticPr fontId="27" type="noConversion"/>
  </si>
  <si>
    <t>1000pF/100V/5%</t>
    <phoneticPr fontId="27" type="noConversion"/>
  </si>
  <si>
    <t>CAP CER 1000pF 5% 100V X7R 0402 SMD</t>
    <phoneticPr fontId="27" type="noConversion"/>
  </si>
  <si>
    <t>C45, C46</t>
  </si>
  <si>
    <t>13100-S020817H-00</t>
    <phoneticPr fontId="27" type="noConversion"/>
  </si>
  <si>
    <t xml:space="preserve">AC0402KRX7R9BB223 </t>
    <phoneticPr fontId="27" type="noConversion"/>
  </si>
  <si>
    <t>0.022uF/50V/10%</t>
    <phoneticPr fontId="27" type="noConversion"/>
  </si>
  <si>
    <t>CAP CER 0.022uF 10% 50V X7R 0402 SMD</t>
    <phoneticPr fontId="27" type="noConversion"/>
  </si>
  <si>
    <t>C48, C49, C51, C285, C369</t>
  </si>
  <si>
    <t>13100-S001388H-00</t>
    <phoneticPr fontId="27" type="noConversion"/>
  </si>
  <si>
    <t>GRM31CR61A476KE15L</t>
    <phoneticPr fontId="27" type="noConversion"/>
  </si>
  <si>
    <t>47uF/10V/10%</t>
    <phoneticPr fontId="27" type="noConversion"/>
  </si>
  <si>
    <t>CAP CER 47uF 10% 10V X5R 1206 SMD</t>
    <phoneticPr fontId="27" type="noConversion"/>
  </si>
  <si>
    <t>C381</t>
  </si>
  <si>
    <t>A2541WR-2x6P</t>
    <phoneticPr fontId="17" type="noConversion"/>
  </si>
  <si>
    <t>Header, 90°, Dual Row, 2.54mm Pitch, 2x6PIN, Black, DIP</t>
    <phoneticPr fontId="17" type="noConversion"/>
  </si>
  <si>
    <t>CN6_2PRO</t>
  </si>
  <si>
    <t>CJT</t>
    <phoneticPr fontId="27" type="noConversion"/>
  </si>
  <si>
    <r>
      <rPr>
        <sz val="8"/>
        <color rgb="FF000000"/>
        <rFont val="SimSun"/>
        <family val="3"/>
        <charset val="134"/>
      </rPr>
      <t>已向</t>
    </r>
    <r>
      <rPr>
        <sz val="8"/>
        <color rgb="FF000000"/>
        <rFont val="Calibri"/>
        <family val="2"/>
      </rPr>
      <t>CJT</t>
    </r>
    <r>
      <rPr>
        <sz val="8"/>
        <color rgb="FF000000"/>
        <rFont val="SimSun"/>
        <family val="3"/>
        <charset val="134"/>
      </rPr>
      <t>代理商申请</t>
    </r>
    <r>
      <rPr>
        <sz val="8"/>
        <color rgb="FF000000"/>
        <rFont val="Calibri"/>
        <family val="2"/>
      </rPr>
      <t>Free sample 8pcs</t>
    </r>
    <r>
      <rPr>
        <sz val="8"/>
        <color rgb="FF000000"/>
        <rFont val="SimSun"/>
        <family val="3"/>
        <charset val="134"/>
      </rPr>
      <t>，在途</t>
    </r>
    <phoneticPr fontId="27" type="noConversion"/>
  </si>
  <si>
    <t>13301-S030032H-00</t>
    <phoneticPr fontId="27" type="noConversion"/>
  </si>
  <si>
    <t>PMEG040V050EPD</t>
    <phoneticPr fontId="27" type="noConversion"/>
  </si>
  <si>
    <t>DIODE SCHOTTKY 40V 5A CFP15</t>
    <phoneticPr fontId="27" type="noConversion"/>
  </si>
  <si>
    <t>D9, D12, D13</t>
  </si>
  <si>
    <t>CFP15_SOT1289_3</t>
  </si>
  <si>
    <t>Nexperia</t>
    <phoneticPr fontId="27" type="noConversion"/>
  </si>
  <si>
    <t>13300-S100008H-00</t>
    <phoneticPr fontId="27" type="noConversion"/>
  </si>
  <si>
    <t>STPS3150U</t>
    <phoneticPr fontId="27" type="noConversion"/>
  </si>
  <si>
    <t>150V/3A</t>
    <phoneticPr fontId="27" type="noConversion"/>
  </si>
  <si>
    <t>DIODE SCHOTTKY 150V 3A SMB</t>
    <phoneticPr fontId="27" type="noConversion"/>
  </si>
  <si>
    <t>D10</t>
  </si>
  <si>
    <t>SMB_AK</t>
  </si>
  <si>
    <t>STMicroelectronics</t>
    <phoneticPr fontId="27" type="noConversion"/>
  </si>
  <si>
    <t>13302-S010020H-00</t>
    <phoneticPr fontId="27" type="noConversion"/>
  </si>
  <si>
    <t>DDZ30D-7</t>
    <phoneticPr fontId="27" type="noConversion"/>
  </si>
  <si>
    <t>30V</t>
  </si>
  <si>
    <t>DIODE ZENER 30V 310MW SOD123</t>
    <phoneticPr fontId="27" type="noConversion"/>
  </si>
  <si>
    <t>D11</t>
  </si>
  <si>
    <t>DIODES_SOD-123_AP02001_DIODE</t>
  </si>
  <si>
    <t>Diodes</t>
    <phoneticPr fontId="27" type="noConversion"/>
  </si>
  <si>
    <t>13302-S010018H-00</t>
    <phoneticPr fontId="27" type="noConversion"/>
  </si>
  <si>
    <t>DDZ15Q-7</t>
    <phoneticPr fontId="27" type="noConversion"/>
  </si>
  <si>
    <t>15V</t>
  </si>
  <si>
    <t>DIODE ZENER 15V 310MW SOD123</t>
    <phoneticPr fontId="27" type="noConversion"/>
  </si>
  <si>
    <t>D40, D44</t>
  </si>
  <si>
    <t>13201-S500009H-00</t>
    <phoneticPr fontId="27" type="noConversion"/>
  </si>
  <si>
    <t>1uH/2.8A/20%</t>
    <phoneticPr fontId="27" type="noConversion"/>
  </si>
  <si>
    <t>Iron Powder Inductor, SMD AEC-Q200 1.0uH 2.8A 60mOhm 20% AEC-Q200 0907</t>
  </si>
  <si>
    <t>L2</t>
  </si>
  <si>
    <t>L_L2.5W2</t>
  </si>
  <si>
    <t>Wurth</t>
    <phoneticPr fontId="27" type="noConversion"/>
  </si>
  <si>
    <t>13201-S030118H-00</t>
    <phoneticPr fontId="27" type="noConversion"/>
  </si>
  <si>
    <t>B82464G4223M000</t>
    <phoneticPr fontId="27" type="noConversion"/>
  </si>
  <si>
    <t>22uH/2.25A/20%</t>
  </si>
  <si>
    <t>Inductor 22uH/2.25A/20%</t>
  </si>
  <si>
    <t>L3</t>
  </si>
  <si>
    <t>SMD10.4X10.4MM_H4.8</t>
  </si>
  <si>
    <t>TDK</t>
    <phoneticPr fontId="27" type="noConversion"/>
  </si>
  <si>
    <t>13201-S500010H-00</t>
    <phoneticPr fontId="27" type="noConversion"/>
  </si>
  <si>
    <t>2.2uH/3.1A/20%</t>
  </si>
  <si>
    <t>Iron Powder Inductor,  SMD AEC-Q200 2.2uH 20% 3.1A 50mOhm AEC-Q200 2828</t>
  </si>
  <si>
    <t>L4</t>
  </si>
  <si>
    <t>SMD7.3X7.3MM_H3.5</t>
  </si>
  <si>
    <t>Wurth Elektronik</t>
    <phoneticPr fontId="27" type="noConversion"/>
  </si>
  <si>
    <t>13306-S030052H-00</t>
    <phoneticPr fontId="27" type="noConversion"/>
  </si>
  <si>
    <t>BUK9M24-60EX</t>
    <phoneticPr fontId="27" type="noConversion"/>
  </si>
  <si>
    <t>MOSFET N-CH 60V 32A LFPAK33</t>
    <phoneticPr fontId="27" type="noConversion"/>
  </si>
  <si>
    <t>Q3</t>
  </si>
  <si>
    <t>LFPAK33_8PIN</t>
  </si>
  <si>
    <t>NXP</t>
    <phoneticPr fontId="27" type="noConversion"/>
  </si>
  <si>
    <t>13307-S030026H-00</t>
    <phoneticPr fontId="27" type="noConversion"/>
  </si>
  <si>
    <t>PHPT60603PY</t>
    <phoneticPr fontId="27" type="noConversion"/>
  </si>
  <si>
    <t>TRANS PNP 60V 3A LFPAK56</t>
    <phoneticPr fontId="27" type="noConversion"/>
  </si>
  <si>
    <t>Q4</t>
  </si>
  <si>
    <t>LFPAK_56</t>
  </si>
  <si>
    <t>RC1206FR-07432RL</t>
    <phoneticPr fontId="27" type="noConversion"/>
  </si>
  <si>
    <t>432R 1% 1/4W 1206</t>
    <phoneticPr fontId="27" type="noConversion"/>
  </si>
  <si>
    <t>RES Thick Film 432R 1% 1/4W 1206 SMD</t>
    <phoneticPr fontId="27" type="noConversion"/>
  </si>
  <si>
    <t>R1, R2</t>
  </si>
  <si>
    <t>RC1206FR-07200RL</t>
    <phoneticPr fontId="27" type="noConversion"/>
  </si>
  <si>
    <t>200R 1% 1/4W 1206</t>
    <phoneticPr fontId="27" type="noConversion"/>
  </si>
  <si>
    <t>RES Thick Film 200R 1% 1/4W 1206 SMD</t>
    <phoneticPr fontId="27" type="noConversion"/>
  </si>
  <si>
    <t>R3, R4</t>
  </si>
  <si>
    <t>13000-S031302H-00</t>
    <phoneticPr fontId="27" type="noConversion"/>
  </si>
  <si>
    <t xml:space="preserve">RMS12FT10R0 </t>
    <phoneticPr fontId="27" type="noConversion"/>
  </si>
  <si>
    <t>10R/0.25W/1%</t>
  </si>
  <si>
    <t>RES Thick Film 10R 1% 1/4W 1206 SMD</t>
    <phoneticPr fontId="27" type="noConversion"/>
  </si>
  <si>
    <t>R21</t>
  </si>
  <si>
    <t>TA-I</t>
    <phoneticPr fontId="27" type="noConversion"/>
  </si>
  <si>
    <t>13000-S031521H-00</t>
    <phoneticPr fontId="27" type="noConversion"/>
  </si>
  <si>
    <t xml:space="preserve">RMS12FT12R0 </t>
    <phoneticPr fontId="27" type="noConversion"/>
  </si>
  <si>
    <t>12R/0.25W/1%</t>
  </si>
  <si>
    <t>RES Thick Film 12R 1% 1/4W 1206 SMD</t>
    <phoneticPr fontId="27" type="noConversion"/>
  </si>
  <si>
    <t>R23</t>
  </si>
  <si>
    <t>13000-S031522H-00</t>
    <phoneticPr fontId="27" type="noConversion"/>
  </si>
  <si>
    <t xml:space="preserve">RMS06FT2492 </t>
    <phoneticPr fontId="27" type="noConversion"/>
  </si>
  <si>
    <t>24.9K/0.1W/1%</t>
    <phoneticPr fontId="27" type="noConversion"/>
  </si>
  <si>
    <t>RES Thick Film 24.9K 1% 1/10W 0603 SMD</t>
    <phoneticPr fontId="27" type="noConversion"/>
  </si>
  <si>
    <t>R24, R25</t>
  </si>
  <si>
    <t>13000-S031523H-00</t>
    <phoneticPr fontId="27" type="noConversion"/>
  </si>
  <si>
    <t xml:space="preserve">RMS06FT5100 </t>
    <phoneticPr fontId="27" type="noConversion"/>
  </si>
  <si>
    <t>510ohm/0.1W/1%</t>
    <phoneticPr fontId="27" type="noConversion"/>
  </si>
  <si>
    <t>RES Thick Film 510R 1% 1/10W 0603 SMD</t>
    <phoneticPr fontId="27" type="noConversion"/>
  </si>
  <si>
    <t>R26</t>
  </si>
  <si>
    <t>13000-S031286H-00</t>
    <phoneticPr fontId="27" type="noConversion"/>
  </si>
  <si>
    <t xml:space="preserve">RMS06FT1001 </t>
    <phoneticPr fontId="27" type="noConversion"/>
  </si>
  <si>
    <t>1K/0.1W/1%</t>
    <phoneticPr fontId="27" type="noConversion"/>
  </si>
  <si>
    <t>RES Thick Film 1K 1% 1/10W 0603 SMD</t>
    <phoneticPr fontId="27" type="noConversion"/>
  </si>
  <si>
    <t>R27</t>
  </si>
  <si>
    <t>13000-S031524H-00</t>
    <phoneticPr fontId="27" type="noConversion"/>
  </si>
  <si>
    <t>8.06K/0.1W/1%</t>
    <phoneticPr fontId="27" type="noConversion"/>
  </si>
  <si>
    <t>RES Thick Film 8.06K 1% 1/10W 0603 SMD</t>
    <phoneticPr fontId="27" type="noConversion"/>
  </si>
  <si>
    <t>R28, R29</t>
  </si>
  <si>
    <t>13000-S031525H-00</t>
    <phoneticPr fontId="27" type="noConversion"/>
  </si>
  <si>
    <t xml:space="preserve">RMS06FT1802 </t>
    <phoneticPr fontId="27" type="noConversion"/>
  </si>
  <si>
    <t>18K/0.1W/1%</t>
    <phoneticPr fontId="27" type="noConversion"/>
  </si>
  <si>
    <t>RES Thick Film 18K 1% 1/10W 0603 SMD</t>
    <phoneticPr fontId="27" type="noConversion"/>
  </si>
  <si>
    <t>R30</t>
  </si>
  <si>
    <t>13000-S03000HH-00</t>
    <phoneticPr fontId="27" type="noConversion"/>
  </si>
  <si>
    <t xml:space="preserve">RMS06FT5101 </t>
    <phoneticPr fontId="27" type="noConversion"/>
  </si>
  <si>
    <t>5.1K/0.1W/1%</t>
  </si>
  <si>
    <t>RES Thick Film 5.1K 1% 1/10W 0603 SMD</t>
    <phoneticPr fontId="27" type="noConversion"/>
  </si>
  <si>
    <t>R31, R33, R37, R390</t>
  </si>
  <si>
    <t>13000-S002417H-00</t>
    <phoneticPr fontId="27" type="noConversion"/>
  </si>
  <si>
    <t>AC0402FR-0724KL</t>
    <phoneticPr fontId="27" type="noConversion"/>
  </si>
  <si>
    <t>24K 1% 1/16W</t>
    <phoneticPr fontId="27" type="noConversion"/>
  </si>
  <si>
    <t>RES Thick Film 24K 1% 1/16W 0402 SMD</t>
    <phoneticPr fontId="27" type="noConversion"/>
  </si>
  <si>
    <t>R32</t>
  </si>
  <si>
    <t>13000-S002422H-00</t>
    <phoneticPr fontId="27" type="noConversion"/>
  </si>
  <si>
    <t>AC0402FR-0749R9L</t>
    <phoneticPr fontId="27" type="noConversion"/>
  </si>
  <si>
    <t>49R9 1% 1/16W</t>
    <phoneticPr fontId="27" type="noConversion"/>
  </si>
  <si>
    <t>RES Thick Film 49R9 1% 1/16W 0402 SMD</t>
    <phoneticPr fontId="27" type="noConversion"/>
  </si>
  <si>
    <t>R34</t>
  </si>
  <si>
    <t>13000-S002415H-00</t>
    <phoneticPr fontId="27" type="noConversion"/>
  </si>
  <si>
    <t>AC0402FR-0710KL</t>
    <phoneticPr fontId="27" type="noConversion"/>
  </si>
  <si>
    <t>10K 1% 1/16W</t>
    <phoneticPr fontId="27" type="noConversion"/>
  </si>
  <si>
    <t>RES Thick Film 10K 1% 1/16W 0402 SMD</t>
    <phoneticPr fontId="27" type="noConversion"/>
  </si>
  <si>
    <t>R36, R39, R42, R43, R86</t>
  </si>
  <si>
    <t>13000-S031548H-00</t>
    <phoneticPr fontId="27" type="noConversion"/>
  </si>
  <si>
    <t>RMH04FT1003</t>
    <phoneticPr fontId="27" type="noConversion"/>
  </si>
  <si>
    <t>100K 1% 1/16W</t>
    <phoneticPr fontId="27" type="noConversion"/>
  </si>
  <si>
    <t>RES Thick Film 100K 1% 1/16W 0402 SMD</t>
    <phoneticPr fontId="27" type="noConversion"/>
  </si>
  <si>
    <t>R40</t>
  </si>
  <si>
    <t>13000-S002438H-00</t>
    <phoneticPr fontId="27" type="noConversion"/>
  </si>
  <si>
    <t xml:space="preserve">AC0402FR-0711KL </t>
    <phoneticPr fontId="27" type="noConversion"/>
  </si>
  <si>
    <t>11K 1% 1/16W</t>
    <phoneticPr fontId="27" type="noConversion"/>
  </si>
  <si>
    <t>RES Thick Film 11K 1% 1/16W 0402 SMD</t>
    <phoneticPr fontId="27" type="noConversion"/>
  </si>
  <si>
    <t>R41</t>
  </si>
  <si>
    <t>13000-S002442H-00</t>
    <phoneticPr fontId="27" type="noConversion"/>
  </si>
  <si>
    <t xml:space="preserve">AC0402FR-070RL </t>
    <phoneticPr fontId="27" type="noConversion"/>
  </si>
  <si>
    <t>0R 1% 1/16W</t>
    <phoneticPr fontId="27" type="noConversion"/>
  </si>
  <si>
    <t>RES Thick Film 0R 1% 1/16W 0402 SMD</t>
    <phoneticPr fontId="27" type="noConversion"/>
  </si>
  <si>
    <t>R292, R312, R381, R382, R425</t>
  </si>
  <si>
    <t>13000-S031539H-00</t>
    <phoneticPr fontId="27" type="noConversion"/>
  </si>
  <si>
    <t xml:space="preserve">RMS06FT2401 </t>
    <phoneticPr fontId="27" type="noConversion"/>
  </si>
  <si>
    <t>2.4K/0.1W/1%</t>
    <phoneticPr fontId="27" type="noConversion"/>
  </si>
  <si>
    <t>RES Thick Film 2.4K 1% 1/10W 0603 SMD</t>
    <phoneticPr fontId="27" type="noConversion"/>
  </si>
  <si>
    <t>R410</t>
  </si>
  <si>
    <t>13000-S002460H-00</t>
    <phoneticPr fontId="27" type="noConversion"/>
  </si>
  <si>
    <t>51K 1% 1/16W</t>
    <phoneticPr fontId="27" type="noConversion"/>
  </si>
  <si>
    <t>RES Thick Film 51K 1% 1/16W 0402 SMD</t>
    <phoneticPr fontId="27" type="noConversion"/>
  </si>
  <si>
    <t>R411, R416</t>
  </si>
  <si>
    <t>13000-S002461H-00</t>
    <phoneticPr fontId="27" type="noConversion"/>
  </si>
  <si>
    <t xml:space="preserve">AC0402FR-07470KL </t>
    <phoneticPr fontId="27" type="noConversion"/>
  </si>
  <si>
    <t>470K 1% 1/16W</t>
    <phoneticPr fontId="27" type="noConversion"/>
  </si>
  <si>
    <t>RES Thick Film 470K 1% 1/16W 0402 SMD</t>
    <phoneticPr fontId="27" type="noConversion"/>
  </si>
  <si>
    <t>R412</t>
  </si>
  <si>
    <r>
      <rPr>
        <sz val="8"/>
        <color rgb="FF000000"/>
        <rFont val="SimSun"/>
        <family val="3"/>
        <charset val="134"/>
      </rPr>
      <t>客户</t>
    </r>
    <r>
      <rPr>
        <sz val="8"/>
        <color rgb="FF000000"/>
        <rFont val="Calibri"/>
        <family val="2"/>
      </rPr>
      <t>approve</t>
    </r>
    <r>
      <rPr>
        <sz val="8"/>
        <color rgb="FF000000"/>
        <rFont val="SimSun"/>
        <family val="3"/>
        <charset val="134"/>
      </rPr>
      <t>从</t>
    </r>
    <r>
      <rPr>
        <sz val="8"/>
        <color rgb="FF000000"/>
        <rFont val="Calibri"/>
        <family val="2"/>
      </rPr>
      <t>WIC001</t>
    </r>
    <r>
      <rPr>
        <sz val="8"/>
        <color rgb="FF000000"/>
        <rFont val="SimSun"/>
        <family val="3"/>
        <charset val="134"/>
      </rPr>
      <t>挪用</t>
    </r>
    <r>
      <rPr>
        <sz val="8"/>
        <color rgb="FF000000"/>
        <rFont val="Calibri"/>
        <family val="2"/>
      </rPr>
      <t>3pcs PMU IC</t>
    </r>
    <phoneticPr fontId="27" type="noConversion"/>
  </si>
  <si>
    <t>13616-S080012H-00</t>
    <phoneticPr fontId="27" type="noConversion"/>
  </si>
  <si>
    <t>TPS3710QDSERQ1</t>
    <phoneticPr fontId="27" type="noConversion"/>
  </si>
  <si>
    <t>IC COMPARATOR 1 GEN PUR WSON-6</t>
    <phoneticPr fontId="27" type="noConversion"/>
  </si>
  <si>
    <t>U54</t>
  </si>
  <si>
    <t>WSON6_1.5X1.5MM</t>
  </si>
  <si>
    <t>TI</t>
    <phoneticPr fontId="27" type="noConversion"/>
  </si>
  <si>
    <t>136B7-S080071H-00</t>
  </si>
  <si>
    <t>TPS7B8250QDGNRQ1</t>
    <phoneticPr fontId="27" type="noConversion"/>
  </si>
  <si>
    <t>IC REG LIN 3.3V/5V 300mA 8-MSOP</t>
    <phoneticPr fontId="27" type="noConversion"/>
  </si>
  <si>
    <t>U55</t>
  </si>
  <si>
    <t>HVSSOP_W3MM_THE</t>
  </si>
  <si>
    <t>13304-S0E0008H-00</t>
    <phoneticPr fontId="27" type="noConversion"/>
  </si>
  <si>
    <t>SM8S33ATHE3</t>
    <phoneticPr fontId="27" type="noConversion"/>
  </si>
  <si>
    <t>DIODE TVS 33VWM 53.3VC DO-218AC</t>
    <phoneticPr fontId="27" type="noConversion"/>
  </si>
  <si>
    <t>Z1</t>
  </si>
  <si>
    <t>D_DO_218AB</t>
  </si>
  <si>
    <t>Vishay</t>
    <phoneticPr fontId="27" type="noConversion"/>
  </si>
  <si>
    <t>A2008WR-7P</t>
    <phoneticPr fontId="17" type="noConversion"/>
  </si>
  <si>
    <t>Wafer 90°, 2.0mm Pitch, 1x7P PIN, 3A, 250VAC, White</t>
    <phoneticPr fontId="17" type="noConversion"/>
  </si>
  <si>
    <t>与MB PCBA共用料</t>
    <phoneticPr fontId="17" type="noConversion"/>
  </si>
  <si>
    <t>Item</t>
    <phoneticPr fontId="17" type="noConversion"/>
  </si>
  <si>
    <t>Demand Qty</t>
    <phoneticPr fontId="17" type="noConversion"/>
  </si>
  <si>
    <t>R413F11000000K</t>
    <phoneticPr fontId="17" type="noConversion"/>
  </si>
  <si>
    <r>
      <rPr>
        <sz val="8"/>
        <color theme="1"/>
        <rFont val="SimSun"/>
        <family val="3"/>
        <charset val="134"/>
      </rPr>
      <t>与</t>
    </r>
    <r>
      <rPr>
        <sz val="8"/>
        <color theme="1"/>
        <rFont val="Segoe UI Historic"/>
        <family val="2"/>
      </rPr>
      <t>MB PCBA</t>
    </r>
    <r>
      <rPr>
        <sz val="8"/>
        <color theme="1"/>
        <rFont val="SimSun"/>
        <family val="3"/>
        <charset val="134"/>
      </rPr>
      <t>共用料</t>
    </r>
    <phoneticPr fontId="17" type="noConversion"/>
  </si>
  <si>
    <t>LFPE0103</t>
    <phoneticPr fontId="17" type="noConversion"/>
  </si>
  <si>
    <t>C24, C32, C33</t>
    <phoneticPr fontId="27" type="noConversion"/>
  </si>
  <si>
    <t>EMZR500ARA221MHA0G-CAR</t>
    <phoneticPr fontId="27" type="noConversion"/>
  </si>
  <si>
    <t>AC0603KRX7R9BB103</t>
    <phoneticPr fontId="27" type="noConversion"/>
  </si>
  <si>
    <t>与MB PCBA共用料</t>
    <phoneticPr fontId="27" type="noConversion"/>
  </si>
  <si>
    <t>AC0402KRX7R9BB223</t>
    <phoneticPr fontId="27" type="noConversion"/>
  </si>
  <si>
    <t>A2541WR-2x6P</t>
    <phoneticPr fontId="27" type="noConversion"/>
  </si>
  <si>
    <t>RMS12FT10R0</t>
    <phoneticPr fontId="27" type="noConversion"/>
  </si>
  <si>
    <t>RMS12FT12R0</t>
    <phoneticPr fontId="27" type="noConversion"/>
  </si>
  <si>
    <t>RMS06FT2492</t>
    <phoneticPr fontId="27" type="noConversion"/>
  </si>
  <si>
    <t>RMS06FT1001</t>
    <phoneticPr fontId="27" type="noConversion"/>
  </si>
  <si>
    <t>RMS06FT8061</t>
    <phoneticPr fontId="27" type="noConversion"/>
  </si>
  <si>
    <t>RMS06FT1802</t>
    <phoneticPr fontId="27" type="noConversion"/>
  </si>
  <si>
    <t>RMS06FT5101</t>
    <phoneticPr fontId="27" type="noConversion"/>
  </si>
  <si>
    <t>AC0402FR-0711KL</t>
    <phoneticPr fontId="27" type="noConversion"/>
  </si>
  <si>
    <t>AC0402FR-070RL</t>
    <phoneticPr fontId="27" type="noConversion"/>
  </si>
  <si>
    <t>RMS06FT2401</t>
    <phoneticPr fontId="27" type="noConversion"/>
  </si>
  <si>
    <t>AC0402FR-0751KL</t>
    <phoneticPr fontId="27" type="noConversion"/>
  </si>
  <si>
    <t>AC0402FR-07470KL</t>
    <phoneticPr fontId="27" type="noConversion"/>
  </si>
  <si>
    <t>SM8S33ATHE3/I</t>
    <phoneticPr fontId="27" type="noConversion"/>
  </si>
  <si>
    <t>180pF 50V±0.5 C0G  0402</t>
    <phoneticPr fontId="17" type="noConversion"/>
  </si>
  <si>
    <t>680nF 50V 10% X7R 0805</t>
    <phoneticPr fontId="17" type="noConversion"/>
  </si>
  <si>
    <t>1uF 50V ±10% X7R 0805</t>
    <phoneticPr fontId="17" type="noConversion"/>
  </si>
  <si>
    <t>12pF 50V ±5% C0G 0402</t>
    <phoneticPr fontId="17" type="noConversion"/>
  </si>
  <si>
    <t>220nF/25V/0603</t>
    <phoneticPr fontId="17" type="noConversion"/>
  </si>
  <si>
    <t>220pF 50V 2% 0402</t>
    <phoneticPr fontId="17" type="noConversion"/>
  </si>
  <si>
    <t>470pF/250V/1%</t>
    <phoneticPr fontId="17" type="noConversion"/>
  </si>
  <si>
    <t>10uF 35V 10% 0805</t>
    <phoneticPr fontId="17" type="noConversion"/>
  </si>
  <si>
    <t>20pF 50V 5% 0402</t>
    <phoneticPr fontId="17" type="noConversion"/>
  </si>
  <si>
    <r>
      <rPr>
        <sz val="8"/>
        <color rgb="FF000000"/>
        <rFont val="Segoe UI Symbol"/>
        <family val="2"/>
      </rPr>
      <t>R654, R786, R904, R982, R1001, R1002, R1003</t>
    </r>
    <phoneticPr fontId="17" type="noConversion"/>
  </si>
  <si>
    <t>RES Thick Film 3K 1% 1/10W 0603 AEC-Q200 SMD</t>
    <phoneticPr fontId="17" type="noConversion"/>
  </si>
  <si>
    <t>3K 1% 1/10W 0603</t>
    <phoneticPr fontId="17" type="noConversion"/>
  </si>
  <si>
    <t>EMK316AB7106KLHT</t>
    <phoneticPr fontId="17" type="noConversion"/>
  </si>
  <si>
    <r>
      <t>100(</t>
    </r>
    <r>
      <rPr>
        <sz val="8"/>
        <color rgb="FFFF0000"/>
        <rFont val="SimSun"/>
        <family val="3"/>
        <charset val="134"/>
      </rPr>
      <t>昆山发料不足，南京有库存料补充</t>
    </r>
    <r>
      <rPr>
        <sz val="8"/>
        <color rgb="FFFF0000"/>
        <rFont val="Segoe UI Historic"/>
        <family val="2"/>
      </rPr>
      <t>)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</si>
</sst>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等线"/>
      <charset val="134"/>
      <scheme val="minor"/>
    </font>
    <font>
      <sz val="8"/>
      <color rgb="FF000000"/>
      <name val="Segoe UI"/>
      <family val="2"/>
    </font>
    <font>
      <sz val="8"/>
      <color theme="1"/>
      <name val="Segoe UI"/>
    </font>
    <font>
      <sz val="8"/>
      <color rgb="FF000000"/>
      <name val="宋体"/>
      <family val="3"/>
      <charset val="134"/>
    </font>
    <font>
      <sz val="8"/>
      <name val="Segoe UI"/>
    </font>
    <font>
      <sz val="11"/>
      <color rgb="FFFF0000"/>
      <name val="等线"/>
      <family val="4"/>
      <charset val="134"/>
      <scheme val="minor"/>
    </font>
    <font>
      <sz val="8"/>
      <color rgb="FF000000"/>
      <name val="SimSun"/>
      <family val="3"/>
      <charset val="134"/>
    </font>
    <font>
      <sz val="8"/>
      <name val="宋体"/>
      <family val="3"/>
      <charset val="134"/>
    </font>
    <font>
      <sz val="9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u/>
      <sz val="11"/>
      <color theme="10"/>
      <name val="等线"/>
      <family val="4"/>
      <charset val="134"/>
      <scheme val="minor"/>
    </font>
    <font>
      <sz val="8"/>
      <color rgb="FF000000"/>
      <name val="等线"/>
      <family val="4"/>
      <charset val="134"/>
    </font>
    <font>
      <sz val="8"/>
      <color rgb="FFFF0000"/>
      <name val="宋体"/>
      <family val="3"/>
      <charset val="134"/>
    </font>
    <font>
      <sz val="8"/>
      <color rgb="FFFF0000"/>
      <name val="Segoe UI"/>
    </font>
    <font>
      <sz val="8"/>
      <color theme="1"/>
      <name val="宋体"/>
      <family val="3"/>
      <charset val="134"/>
    </font>
    <font>
      <sz val="8"/>
      <color rgb="FF000000"/>
      <name val="Segoe UI"/>
    </font>
    <font>
      <sz val="8"/>
      <color rgb="FF000000"/>
      <name val="Arial Regular"/>
    </font>
    <font>
      <sz val="9"/>
      <name val="等线"/>
      <family val="4"/>
      <charset val="134"/>
      <scheme val="minor"/>
    </font>
    <font>
      <sz val="8"/>
      <color rgb="FF000000"/>
      <name val="Segoe UI Historic"/>
      <family val="2"/>
    </font>
    <font>
      <sz val="11"/>
      <color theme="1"/>
      <name val="Segoe UI Historic"/>
      <family val="2"/>
    </font>
    <font>
      <sz val="11"/>
      <color rgb="FFFF0000"/>
      <name val="Segoe UI Historic"/>
      <family val="2"/>
    </font>
    <font>
      <sz val="9"/>
      <color theme="1"/>
      <name val="Segoe UI Historic"/>
      <family val="2"/>
    </font>
    <font>
      <sz val="8"/>
      <color theme="1"/>
      <name val="Segoe UI Historic"/>
      <family val="2"/>
    </font>
    <font>
      <sz val="8"/>
      <color rgb="FFFF0000"/>
      <name val="Segoe UI Historic"/>
      <family val="2"/>
    </font>
    <font>
      <sz val="8"/>
      <color theme="1"/>
      <name val="SimSun"/>
      <family val="3"/>
      <charset val="134"/>
    </font>
    <font>
      <sz val="8"/>
      <color rgb="FF000000"/>
      <name val="Segoe UI Symbol"/>
      <family val="2"/>
    </font>
    <font>
      <sz val="8"/>
      <color theme="1"/>
      <name val="Calibri"/>
      <family val="2"/>
    </font>
    <font>
      <sz val="9"/>
      <name val="等线"/>
      <family val="2"/>
      <charset val="134"/>
      <scheme val="minor"/>
    </font>
    <font>
      <sz val="8"/>
      <color rgb="FF000000"/>
      <name val="Calibri"/>
      <family val="2"/>
    </font>
    <font>
      <sz val="8"/>
      <color rgb="FFFF0000"/>
      <name val="Segoe UI"/>
      <family val="2"/>
    </font>
    <font>
      <sz val="8"/>
      <color theme="1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color rgb="FF000000"/>
      <name val="宋体"/>
      <family val="2"/>
      <charset val="134"/>
    </font>
    <font>
      <sz val="8"/>
      <color theme="1"/>
      <name val="Segoe UI Historic"/>
      <family val="3"/>
      <charset val="134"/>
    </font>
    <font>
      <sz val="8"/>
      <color rgb="FFFF0000"/>
      <name val="SimSu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1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0" borderId="1" xfId="0" applyFill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4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58" fontId="1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8" fillId="0" borderId="1" xfId="0" applyFont="1" applyFill="1" applyBorder="1">
      <alignment vertical="center"/>
    </xf>
    <xf numFmtId="0" fontId="2" fillId="0" borderId="1" xfId="1" applyFont="1" applyFill="1" applyBorder="1">
      <alignment vertical="center"/>
    </xf>
    <xf numFmtId="0" fontId="2" fillId="0" borderId="1" xfId="1" applyFont="1" applyFill="1" applyBorder="1" applyAlignment="1">
      <alignment horizontal="left" vertical="top"/>
    </xf>
    <xf numFmtId="0" fontId="0" fillId="0" borderId="0" xfId="0" applyNumberFormat="1">
      <alignment vertical="center"/>
    </xf>
    <xf numFmtId="0" fontId="1" fillId="0" borderId="1" xfId="0" quotePrefix="1" applyFont="1" applyFill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1" fillId="0" borderId="1" xfId="0" quotePrefix="1" applyFont="1" applyFill="1" applyBorder="1">
      <alignment vertical="center"/>
    </xf>
    <xf numFmtId="0" fontId="1" fillId="0" borderId="1" xfId="0" quotePrefix="1" applyFont="1" applyFill="1" applyBorder="1" applyAlignment="1">
      <alignment vertical="center" wrapText="1"/>
    </xf>
    <xf numFmtId="0" fontId="1" fillId="0" borderId="1" xfId="0" quotePrefix="1" applyNumberFormat="1" applyFont="1" applyFill="1" applyBorder="1">
      <alignment vertical="center"/>
    </xf>
    <xf numFmtId="0" fontId="1" fillId="2" borderId="1" xfId="0" quotePrefix="1" applyNumberFormat="1" applyFont="1" applyFill="1" applyBorder="1">
      <alignment vertical="center"/>
    </xf>
    <xf numFmtId="0" fontId="1" fillId="2" borderId="1" xfId="0" quotePrefix="1" applyFont="1" applyFill="1" applyBorder="1">
      <alignment vertical="center"/>
    </xf>
    <xf numFmtId="0" fontId="3" fillId="0" borderId="1" xfId="0" quotePrefix="1" applyFont="1" applyFill="1" applyBorder="1">
      <alignment vertical="center"/>
    </xf>
    <xf numFmtId="0" fontId="4" fillId="0" borderId="1" xfId="0" quotePrefix="1" applyFont="1" applyFill="1" applyBorder="1">
      <alignment vertical="center"/>
    </xf>
    <xf numFmtId="0" fontId="6" fillId="0" borderId="1" xfId="0" quotePrefix="1" applyFont="1" applyFill="1" applyBorder="1">
      <alignment vertical="center"/>
    </xf>
    <xf numFmtId="0" fontId="1" fillId="0" borderId="1" xfId="0" quotePrefix="1" applyFont="1" applyFill="1" applyBorder="1">
      <alignment vertical="center"/>
    </xf>
    <xf numFmtId="0" fontId="18" fillId="0" borderId="1" xfId="0" applyFont="1" applyFill="1" applyBorder="1" applyAlignment="1">
      <alignment horizontal="left" vertical="top"/>
    </xf>
    <xf numFmtId="0" fontId="19" fillId="0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/>
    </xf>
    <xf numFmtId="0" fontId="20" fillId="0" borderId="1" xfId="0" applyFont="1" applyFill="1" applyBorder="1" applyAlignment="1">
      <alignment horizontal="left" vertical="top"/>
    </xf>
    <xf numFmtId="0" fontId="21" fillId="0" borderId="1" xfId="0" applyFont="1" applyFill="1" applyBorder="1" applyAlignment="1">
      <alignment horizontal="left" vertical="top"/>
    </xf>
    <xf numFmtId="0" fontId="18" fillId="0" borderId="1" xfId="0" quotePrefix="1" applyFont="1" applyFill="1" applyBorder="1" applyAlignment="1">
      <alignment horizontal="left" vertical="top"/>
    </xf>
    <xf numFmtId="0" fontId="22" fillId="0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3" fillId="0" borderId="1" xfId="0" applyFont="1" applyFill="1" applyBorder="1" applyAlignment="1">
      <alignment horizontal="left" vertical="top"/>
    </xf>
    <xf numFmtId="0" fontId="9" fillId="0" borderId="0" xfId="0" applyFont="1" applyFill="1">
      <alignment vertical="center"/>
    </xf>
    <xf numFmtId="0" fontId="1" fillId="3" borderId="1" xfId="0" quotePrefix="1" applyFont="1" applyFill="1" applyBorder="1">
      <alignment vertical="center"/>
    </xf>
    <xf numFmtId="0" fontId="2" fillId="3" borderId="1" xfId="0" applyFont="1" applyFill="1" applyBorder="1" applyAlignment="1">
      <alignment vertical="top"/>
    </xf>
    <xf numFmtId="0" fontId="2" fillId="3" borderId="1" xfId="0" quotePrefix="1" applyFont="1" applyFill="1" applyBorder="1" applyAlignment="1">
      <alignment vertical="top"/>
    </xf>
    <xf numFmtId="0" fontId="2" fillId="3" borderId="1" xfId="0" quotePrefix="1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2" fillId="3" borderId="1" xfId="0" applyFont="1" applyFill="1" applyBorder="1" applyAlignment="1">
      <alignment horizontal="left" vertical="top"/>
    </xf>
    <xf numFmtId="0" fontId="0" fillId="0" borderId="0" xfId="0" pivotButton="1">
      <alignment vertical="center"/>
    </xf>
    <xf numFmtId="0" fontId="29" fillId="0" borderId="1" xfId="0" quotePrefix="1" applyFont="1" applyFill="1" applyBorder="1">
      <alignment vertical="center"/>
    </xf>
    <xf numFmtId="0" fontId="9" fillId="0" borderId="0" xfId="2">
      <alignment vertical="center"/>
    </xf>
    <xf numFmtId="0" fontId="30" fillId="0" borderId="1" xfId="0" applyFont="1" applyFill="1" applyBorder="1">
      <alignment vertical="center"/>
    </xf>
    <xf numFmtId="0" fontId="22" fillId="0" borderId="0" xfId="0" applyFont="1" applyFill="1" applyAlignment="1">
      <alignment horizontal="left" vertical="top"/>
    </xf>
    <xf numFmtId="0" fontId="18" fillId="0" borderId="1" xfId="2" quotePrefix="1" applyFont="1" applyBorder="1">
      <alignment vertical="center"/>
    </xf>
    <xf numFmtId="0" fontId="22" fillId="4" borderId="1" xfId="2" applyFont="1" applyFill="1" applyBorder="1">
      <alignment vertical="center"/>
    </xf>
    <xf numFmtId="0" fontId="18" fillId="4" borderId="1" xfId="2" quotePrefix="1" applyFont="1" applyFill="1" applyBorder="1" applyAlignment="1">
      <alignment horizontal="center" vertical="center"/>
    </xf>
    <xf numFmtId="0" fontId="18" fillId="5" borderId="1" xfId="2" quotePrefix="1" applyFont="1" applyFill="1" applyBorder="1" applyAlignment="1">
      <alignment horizontal="center" vertical="center"/>
    </xf>
    <xf numFmtId="0" fontId="22" fillId="0" borderId="1" xfId="2" applyFont="1" applyBorder="1">
      <alignment vertical="center"/>
    </xf>
    <xf numFmtId="0" fontId="18" fillId="0" borderId="1" xfId="2" applyFont="1" applyBorder="1" applyAlignment="1">
      <alignment horizontal="center" vertical="center"/>
    </xf>
    <xf numFmtId="0" fontId="22" fillId="3" borderId="1" xfId="2" applyFont="1" applyFill="1" applyBorder="1">
      <alignment vertical="center"/>
    </xf>
    <xf numFmtId="0" fontId="18" fillId="3" borderId="1" xfId="2" quotePrefix="1" applyFont="1" applyFill="1" applyBorder="1">
      <alignment vertical="center"/>
    </xf>
    <xf numFmtId="0" fontId="18" fillId="0" borderId="1" xfId="2" applyFont="1" applyBorder="1">
      <alignment vertical="center"/>
    </xf>
    <xf numFmtId="0" fontId="18" fillId="3" borderId="1" xfId="2" applyFont="1" applyFill="1" applyBorder="1" applyAlignment="1">
      <alignment horizontal="left" vertical="center"/>
    </xf>
    <xf numFmtId="0" fontId="28" fillId="5" borderId="1" xfId="3" quotePrefix="1" applyFont="1" applyFill="1" applyBorder="1" applyAlignment="1">
      <alignment horizontal="left" vertical="top"/>
    </xf>
    <xf numFmtId="0" fontId="31" fillId="0" borderId="0" xfId="3">
      <alignment vertical="center"/>
    </xf>
    <xf numFmtId="0" fontId="26" fillId="3" borderId="1" xfId="3" applyFont="1" applyFill="1" applyBorder="1" applyAlignment="1">
      <alignment horizontal="left" vertical="top"/>
    </xf>
    <xf numFmtId="0" fontId="26" fillId="6" borderId="1" xfId="3" applyFont="1" applyFill="1" applyBorder="1" applyAlignment="1">
      <alignment horizontal="left" vertical="top"/>
    </xf>
    <xf numFmtId="0" fontId="28" fillId="6" borderId="1" xfId="3" quotePrefix="1" applyFont="1" applyFill="1" applyBorder="1" applyAlignment="1">
      <alignment horizontal="left" vertical="top"/>
    </xf>
    <xf numFmtId="0" fontId="28" fillId="6" borderId="1" xfId="3" quotePrefix="1" applyFont="1" applyFill="1" applyBorder="1" applyAlignment="1">
      <alignment horizontal="left" vertical="top" wrapText="1"/>
    </xf>
    <xf numFmtId="0" fontId="28" fillId="3" borderId="1" xfId="3" quotePrefix="1" applyFont="1" applyFill="1" applyBorder="1" applyAlignment="1">
      <alignment horizontal="left" vertical="top"/>
    </xf>
    <xf numFmtId="0" fontId="28" fillId="3" borderId="1" xfId="3" applyFont="1" applyFill="1" applyBorder="1" applyAlignment="1">
      <alignment horizontal="left" vertical="top"/>
    </xf>
    <xf numFmtId="0" fontId="6" fillId="3" borderId="1" xfId="3" quotePrefix="1" applyFont="1" applyFill="1" applyBorder="1" applyAlignment="1">
      <alignment horizontal="left" vertical="top"/>
    </xf>
    <xf numFmtId="0" fontId="1" fillId="3" borderId="1" xfId="3" quotePrefix="1" applyFont="1" applyFill="1" applyBorder="1">
      <alignment vertical="center"/>
    </xf>
    <xf numFmtId="0" fontId="26" fillId="6" borderId="1" xfId="3" applyFont="1" applyFill="1" applyBorder="1">
      <alignment vertical="center"/>
    </xf>
    <xf numFmtId="0" fontId="26" fillId="6" borderId="1" xfId="3" applyFont="1" applyFill="1" applyBorder="1" applyAlignment="1">
      <alignment horizontal="left" vertical="center"/>
    </xf>
    <xf numFmtId="0" fontId="28" fillId="6" borderId="1" xfId="3" quotePrefix="1" applyFont="1" applyFill="1" applyBorder="1">
      <alignment vertical="center"/>
    </xf>
    <xf numFmtId="0" fontId="28" fillId="6" borderId="1" xfId="3" quotePrefix="1" applyFont="1" applyFill="1" applyBorder="1" applyAlignment="1">
      <alignment vertical="center" wrapText="1"/>
    </xf>
    <xf numFmtId="0" fontId="26" fillId="3" borderId="1" xfId="3" applyFont="1" applyFill="1" applyBorder="1">
      <alignment vertical="center"/>
    </xf>
    <xf numFmtId="0" fontId="28" fillId="3" borderId="1" xfId="3" quotePrefix="1" applyFont="1" applyFill="1" applyBorder="1">
      <alignment vertical="center"/>
    </xf>
    <xf numFmtId="0" fontId="28" fillId="3" borderId="1" xfId="3" quotePrefix="1" applyFont="1" applyFill="1" applyBorder="1" applyAlignment="1">
      <alignment vertical="center" wrapText="1"/>
    </xf>
    <xf numFmtId="0" fontId="26" fillId="0" borderId="1" xfId="3" applyFont="1" applyBorder="1">
      <alignment vertical="center"/>
    </xf>
    <xf numFmtId="0" fontId="28" fillId="0" borderId="1" xfId="3" quotePrefix="1" applyFont="1" applyBorder="1" applyAlignment="1">
      <alignment horizontal="left" vertical="top"/>
    </xf>
    <xf numFmtId="0" fontId="28" fillId="0" borderId="1" xfId="3" applyFont="1" applyBorder="1" applyAlignment="1">
      <alignment horizontal="left" vertical="top"/>
    </xf>
    <xf numFmtId="0" fontId="18" fillId="3" borderId="1" xfId="2" applyFont="1" applyFill="1" applyBorder="1" applyAlignment="1">
      <alignment horizontal="left" vertical="top"/>
    </xf>
    <xf numFmtId="0" fontId="22" fillId="3" borderId="1" xfId="2" applyFont="1" applyFill="1" applyBorder="1" applyAlignment="1">
      <alignment horizontal="left" vertical="top"/>
    </xf>
    <xf numFmtId="0" fontId="18" fillId="3" borderId="1" xfId="2" quotePrefix="1" applyFont="1" applyFill="1" applyBorder="1" applyAlignment="1">
      <alignment horizontal="left" vertical="top"/>
    </xf>
    <xf numFmtId="0" fontId="18" fillId="0" borderId="1" xfId="2" applyFont="1" applyBorder="1" applyAlignment="1">
      <alignment horizontal="left" vertical="top"/>
    </xf>
    <xf numFmtId="0" fontId="18" fillId="0" borderId="1" xfId="2" quotePrefix="1" applyFon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31" fillId="0" borderId="1" xfId="3" applyBorder="1">
      <alignment vertical="center"/>
    </xf>
    <xf numFmtId="0" fontId="22" fillId="0" borderId="1" xfId="2" applyFont="1" applyBorder="1" applyAlignment="1">
      <alignment horizontal="left" vertical="top"/>
    </xf>
    <xf numFmtId="0" fontId="33" fillId="0" borderId="1" xfId="0" applyFont="1" applyFill="1" applyBorder="1" applyAlignment="1">
      <alignment horizontal="left" vertical="top"/>
    </xf>
    <xf numFmtId="0" fontId="22" fillId="0" borderId="1" xfId="3" applyFont="1" applyBorder="1">
      <alignment vertical="center"/>
    </xf>
    <xf numFmtId="0" fontId="22" fillId="0" borderId="1" xfId="3" applyFont="1" applyBorder="1" applyAlignment="1">
      <alignment horizontal="left" vertical="top"/>
    </xf>
    <xf numFmtId="0" fontId="22" fillId="0" borderId="1" xfId="3" quotePrefix="1" applyFont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>
      <alignment vertical="center"/>
    </xf>
    <xf numFmtId="0" fontId="2" fillId="0" borderId="1" xfId="0" applyNumberFormat="1" applyFont="1" applyFill="1" applyBorder="1">
      <alignment vertical="center"/>
    </xf>
    <xf numFmtId="0" fontId="1" fillId="3" borderId="1" xfId="0" quotePrefix="1" applyNumberFormat="1" applyFont="1" applyFill="1" applyBorder="1">
      <alignment vertical="center"/>
    </xf>
  </cellXfs>
  <cellStyles count="4">
    <cellStyle name="常规" xfId="0" builtinId="0"/>
    <cellStyle name="常规 2" xfId="2" xr:uid="{91122C8A-4C70-DE41-81BF-DD1DB5469100}"/>
    <cellStyle name="常规 3" xfId="3" xr:uid="{4B27CAE1-A7F7-E24F-834B-AD3780D69135}"/>
    <cellStyle name="超链接" xfId="1" builtinId="8"/>
  </cellStyles>
  <dxfs count="10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096.45880601852" createdVersion="6" refreshedVersion="6" minRefreshableVersion="3" recordCount="280" xr:uid="{00000000-000A-0000-FFFF-FFFF00000000}">
  <cacheSource type="worksheet">
    <worksheetSource ref="A1:N1048576" sheet="OBC+WPT MB PCBA BOM"/>
  </cacheSource>
  <cacheFields count="14">
    <cacheField name="Item" numFmtId="0">
      <sharedItems containsString="0" containsBlank="1" containsNumber="1" containsInteger="1" minValue="1" maxValue="279"/>
    </cacheField>
    <cacheField name="ICT PN" numFmtId="0">
      <sharedItems containsBlank="1"/>
    </cacheField>
    <cacheField name="MPN" numFmtId="0">
      <sharedItems containsBlank="1"/>
    </cacheField>
    <cacheField name="Comment" numFmtId="0">
      <sharedItems containsBlank="1"/>
    </cacheField>
    <cacheField name="Description" numFmtId="0">
      <sharedItems containsBlank="1"/>
    </cacheField>
    <cacheField name="Designator" numFmtId="0">
      <sharedItems containsBlank="1" longText="1"/>
    </cacheField>
    <cacheField name="Footprint" numFmtId="0">
      <sharedItems containsBlank="1"/>
    </cacheField>
    <cacheField name="Quantity" numFmtId="0">
      <sharedItems containsString="0" containsBlank="1" containsNumber="1" containsInteger="1" minValue="1" maxValue="75"/>
    </cacheField>
    <cacheField name="Vendor" numFmtId="0">
      <sharedItems containsBlank="1"/>
    </cacheField>
    <cacheField name="生产用料量/pcs" numFmtId="0">
      <sharedItems containsString="0" containsBlank="1" containsNumber="1" containsInteger="1" minValue="5" maxValue="375"/>
    </cacheField>
    <cacheField name="收到样品数量/pcs" numFmtId="0">
      <sharedItems containsString="0" containsBlank="1" containsNumber="1" containsInteger="1" minValue="3" maxValue="200"/>
    </cacheField>
    <cacheField name="备料状态" numFmtId="0">
      <sharedItems containsBlank="1" count="5">
        <s v="Closed"/>
        <m/>
        <s v="On-going"/>
        <s v="Open"/>
        <s v="Close" u="1"/>
      </sharedItems>
    </cacheField>
    <cacheField name="交期" numFmtId="0">
      <sharedItems containsDate="1" containsBlank="1" containsMixedTypes="1" minDate="2023-06-10T00:00:00" maxDate="2023-06-11T00:00:00"/>
    </cacheField>
    <cacheField name="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1"/>
    <m/>
    <s v="C42Q2225KBSC350"/>
    <s v="X2,2.2uF,10%,305Vac"/>
    <s v="Safety CAP,X2,2.2uF,10%,305Vac,W_32*H_25*T_13mm,P=27.5mm,d=0.8mm,DIP"/>
    <s v="C100, C102, C105"/>
    <s v="CBOX_31x10_8_P_27_5"/>
    <n v="3"/>
    <s v="FARA"/>
    <n v="15"/>
    <n v="20"/>
    <x v="0"/>
    <m/>
    <s v="KS ICT 已收到样品"/>
  </r>
  <r>
    <n v="2"/>
    <m/>
    <s v="C42Q2105KBSC350"/>
    <s v="X2,1uF,10%,305VAC"/>
    <s v="Safety CAP,X2,1uF,10%,305Vac,W_32*H_18*T_9mm,P=27.5mm,d=0.8mm,DIP"/>
    <s v="C101"/>
    <s v="CBOX_31x10_8_P_27_5"/>
    <n v="1"/>
    <s v="FARA"/>
    <n v="5"/>
    <n v="15"/>
    <x v="0"/>
    <m/>
    <s v="KS ICT 已收到样品"/>
  </r>
  <r>
    <n v="3"/>
    <s v="13100-S050254H-00"/>
    <s v="UMK105B7103KVHF"/>
    <s v="10nF 50V 10% X7R 0402"/>
    <s v="CAP CER 10nF 50V ±10% X7R 0402 SMD"/>
    <s v="C103, C318, C319, C316, C613, C752, C963"/>
    <s v="C0402"/>
    <n v="7"/>
    <s v="TAIYO YUDEN"/>
    <n v="35"/>
    <n v="100"/>
    <x v="0"/>
    <m/>
    <s v="KS ICT 已收到样品"/>
  </r>
  <r>
    <n v="4"/>
    <s v="13100-S050366H-00"/>
    <s v="TMK316AB7106KLHT"/>
    <s v="10uF 10% 25V X7R 1206"/>
    <s v="CAP CER 10uF 10% 25V X7R 1206 SMD"/>
    <s v="C104, C206, C209, C214, C218, C557, C558, C559, C560,C561,C822, C824, C827, C850, C929, C935, C941, C950, C952, C924,C932 ,"/>
    <s v="C1206"/>
    <n v="21"/>
    <s v="TAIYO YUDEN"/>
    <n v="105"/>
    <m/>
    <x v="0"/>
    <m/>
    <s v="KS ICT 已收到样品，数量待确认"/>
  </r>
  <r>
    <n v="5"/>
    <m/>
    <s v="EMK316AB7106KL-T"/>
    <s v="10uF/16V/1206"/>
    <s v="CAP CER 10uF 10% 16V X7R 1206 SMD"/>
    <s v="C944, C947"/>
    <s v="C1206"/>
    <n v="2"/>
    <s v="TAIYO YUDEN"/>
    <n v="10"/>
    <m/>
    <x v="1"/>
    <m/>
    <s v="有库存料"/>
  </r>
  <r>
    <n v="6"/>
    <m/>
    <s v="UMK316BBJ106KL-T"/>
    <s v="10uF 50V ±10% X5R 1206"/>
    <s v="CAP CER 10uF 10% 50V X7R 1206 SMD"/>
    <s v="C851, C856, C870"/>
    <s v="C1206"/>
    <n v="4"/>
    <s v="TAIYO YUDEN"/>
    <n v="20"/>
    <m/>
    <x v="0"/>
    <m/>
    <s v="已购入"/>
  </r>
  <r>
    <n v="7"/>
    <s v="13100-S02001HH-00"/>
    <s v="CC1206JKNPOYBN392"/>
    <s v="3.9nF/250V/5%/NP0/1206"/>
    <s v="CAP CER 3.9nF 5% 250V NP0 1206 SMD"/>
    <s v="C852"/>
    <s v="C1206"/>
    <n v="1"/>
    <s v="YAGEO"/>
    <n v="5"/>
    <m/>
    <x v="0"/>
    <m/>
    <m/>
  </r>
  <r>
    <n v="8"/>
    <m/>
    <s v="GCJ31CR73A103KXJ3L"/>
    <s v="10nF 10% 1000V X7R 1206"/>
    <s v="CAP CER 10nF 10% 1000V X7R 1206 SMD"/>
    <s v="C200, C205"/>
    <s v="C1206"/>
    <n v="2"/>
    <s v="muRata(村田)"/>
    <n v="10"/>
    <m/>
    <x v="0"/>
    <s v="TBD"/>
    <s v="有库存料"/>
  </r>
  <r>
    <n v="9"/>
    <m/>
    <s v="FS55X105K631EHG"/>
    <s v="1uF 10% 630V X7R 2220"/>
    <s v="CAP CER 1uF 10% 630V X7R 2220 SMD"/>
    <s v="C201, C202, C221, C507, C508, C509, C510, C511, C512, C513, C514, C515, C516, C517, C518, C527, C528, C536, C537, C555, C556,C562,C563,C564,C565"/>
    <s v="C2220"/>
    <n v="25"/>
    <s v=" PSA(信昌电陶) "/>
    <n v="125"/>
    <m/>
    <x v="0"/>
    <s v="TBD"/>
    <s v="已购入"/>
  </r>
  <r>
    <n v="10"/>
    <s v="13100-S050099H-00"/>
    <s v="UMK105B7104KVHF"/>
    <s v="100nF 10% 50V X7R 0402"/>
    <s v="CAP CER 100nF 50V ±10% X7R 0402 SMD"/>
    <s v="C203, C210, C219, C222, C321, C322, C324, C614, C615, C717, C722, C723, C727, C732, C735, C740, C744, C745,C753, C754, C825, C829, C830, C831, C834, C837, C838, C839, C842, C843, C845, C846,C421, C427, C506, C530, C539, C542, C543, C547, C549, C551, C602, C603, C604, C607, C609, C610, C616, C940, C948, C949"/>
    <s v="C0402"/>
    <n v="52"/>
    <s v="TAIYO YUDEN"/>
    <n v="260"/>
    <n v="200"/>
    <x v="0"/>
    <m/>
    <s v="有库存料"/>
  </r>
  <r>
    <n v="11"/>
    <s v="13100-S050186H-00"/>
    <s v="UMK105B7102KVHF"/>
    <s v="1nF 10% 50V X7R 0402"/>
    <s v="CAP CER 1nF 50V ±10% X7R 0402 SMD"/>
    <s v="C204, C310, C311, C751, C847, C325, C525, C526, C531, C535, C601, C611, C612, C618, C625"/>
    <s v="C0402"/>
    <n v="15"/>
    <s v="TAIYO YUDEN"/>
    <n v="75"/>
    <n v="100"/>
    <x v="0"/>
    <m/>
    <s v="KS ICT 已收到样品"/>
  </r>
  <r>
    <n v="12"/>
    <s v="13100-S001422H-00"/>
    <s v="GCM1555C1H331FA16D"/>
    <s v="330pF 1% 50V NP0 0402"/>
    <s v="CAP CER 330pF 50V 1% C0G/NP0 0402 AEC-Q200 SMD"/>
    <s v="C207, C216，C208, C215，C700, C701, C708, C709"/>
    <s v="C0402"/>
    <n v="8"/>
    <s v="Murata"/>
    <n v="40"/>
    <m/>
    <x v="0"/>
    <s v="TBD"/>
    <s v="有库存料"/>
  </r>
  <r>
    <n v="13"/>
    <m/>
    <s v="0805B106K100NT"/>
    <s v="10uF 10% 10V X7R 0805"/>
    <s v="CAP CER 10uF 10% 10V X7R 0805 SMD"/>
    <s v="C211, C220, C306, C307, C943, C951, C954, C955, C320, C323"/>
    <s v="C0805"/>
    <n v="10"/>
    <s v="FH(风华) "/>
    <n v="50"/>
    <m/>
    <x v="0"/>
    <s v="TBD"/>
    <s v="有库存料"/>
  </r>
  <r>
    <n v="14"/>
    <m/>
    <s v="UMK105B7222KVHF"/>
    <s v="2.2nF 50V ±10% X7R 0402"/>
    <s v="CAP CER 2.2nF 50V ±10% X7R 0402 SMD"/>
    <s v="C314, C873"/>
    <s v="C0402"/>
    <n v="2"/>
    <s v="TAIYO YUDEN"/>
    <n v="10"/>
    <n v="100"/>
    <x v="0"/>
    <m/>
    <s v="KS ICT 已收到样品"/>
  </r>
  <r>
    <n v="15"/>
    <s v="13100-S051057H-00"/>
    <s v="UMK105CG101JVHF"/>
    <s v="100pF 50V ±5% NPO 0402"/>
    <s v="CAP CER 100pF 50V ±5% NPO 0402 SMD"/>
    <s v="C315, C419, C420, C425, C426, C533, C534, C545, C546，C713，C835, C836, C841,C964"/>
    <s v="C0402"/>
    <n v="14"/>
    <s v="TAIYO YUDEN"/>
    <n v="70"/>
    <n v="100"/>
    <x v="0"/>
    <m/>
    <s v="KS ICT 已收到样品"/>
  </r>
  <r>
    <n v="16"/>
    <m/>
    <s v="CC0603KRX7R8BB105"/>
    <s v="1uF 10% 25V X7R 0603"/>
    <s v="CAP CER 1uF 25V X7R 0603"/>
    <s v="C317，C823, C832"/>
    <s v="C0603"/>
    <n v="3"/>
    <s v="YAGEO"/>
    <n v="15"/>
    <m/>
    <x v="0"/>
    <m/>
    <s v="有库存料"/>
  </r>
  <r>
    <n v="17"/>
    <s v="13100-S002481H-00"/>
    <s v="GCM55D7U3A103JX01L"/>
    <s v="10nF/1kV/U2J/2220"/>
    <s v="CAP CER 10nF 5% 1KV U2J 2220 AEC-Q200 SMD"/>
    <s v="C400, C403, C404, C405, C406, C409, C410, C411, C412, C413"/>
    <s v="C2220"/>
    <n v="10"/>
    <s v="Murata"/>
    <n v="50"/>
    <m/>
    <x v="2"/>
    <s v="TBD"/>
    <s v="ICT采购已下单300pcs，交期TBD"/>
  </r>
  <r>
    <n v="18"/>
    <m/>
    <s v="AC0805KKX7R9BB224"/>
    <s v="220nF 10% 25V X7R 0805"/>
    <s v="CAP CER 0.22UF 10% 50V X7R 0805 SMD"/>
    <s v="C401, C402, C414, C415, C500, C501, C520, C522"/>
    <s v="C0805"/>
    <n v="8"/>
    <s v="YAGEO"/>
    <n v="40"/>
    <m/>
    <x v="0"/>
    <m/>
    <s v="有库存料"/>
  </r>
  <r>
    <n v="19"/>
    <m/>
    <s v="UMK105B7472KVHF"/>
    <s v="4.7nF 10% 50V X7R 0402"/>
    <s v="CAP CER 4.7nF 50V ±10% X7R 0402 SMD"/>
    <s v="C407, C408, C416, C417, C502, C503, C523, C524，C886"/>
    <s v="C0402"/>
    <n v="9"/>
    <s v="TAIYO YUDEN"/>
    <n v="45"/>
    <n v="100"/>
    <x v="0"/>
    <m/>
    <s v="KS ICT 已收到样品"/>
  </r>
  <r>
    <n v="20"/>
    <m/>
    <s v="GRM21BZ71E106KE15L"/>
    <s v="10uF 10% 25V X7R 0805"/>
    <s v="CAP CER 10uF 10% 25V X7R 0805 SMD"/>
    <s v="C422, C540,C938,  C424, C429"/>
    <s v="C0805"/>
    <n v="12"/>
    <s v="Murata"/>
    <n v="60"/>
    <m/>
    <x v="0"/>
    <m/>
    <s v="有库存料"/>
  </r>
  <r>
    <n v="21"/>
    <m/>
    <s v="GRM21BR61C106KE15L"/>
    <s v="10uF/16V/0805"/>
    <m/>
    <s v="C418,C423, C428, C532, C541, C544, C548, C550"/>
    <s v="C0805"/>
    <n v="8"/>
    <s v="Murata"/>
    <n v="40"/>
    <m/>
    <x v="0"/>
    <m/>
    <s v="有库存料"/>
  </r>
  <r>
    <n v="22"/>
    <m/>
    <s v="FV55X224K102EHG"/>
    <s v="0.22uF/1000V/2220"/>
    <s v="CAP CER 220nF 10% 1KV X7R 2220 SMD"/>
    <s v="C504, C505"/>
    <s v="C2220"/>
    <n v="2"/>
    <s v="PSA(信昌电陶) "/>
    <n v="10"/>
    <m/>
    <x v="0"/>
    <s v="TBD"/>
    <s v="有库存料"/>
  </r>
  <r>
    <n v="23"/>
    <m/>
    <s v="AHF2GM121M35OT"/>
    <s v="120uF 20% 400V D18*35"/>
    <s v="CAP AL 120uF 20% 400V 870mA/120HZ 10000H D18*35mm DIP"/>
    <s v="C519, C521"/>
    <s v="ECAP_D18_H50_P7.5"/>
    <n v="2"/>
    <s v="AiShi(艾华)"/>
    <n v="10"/>
    <m/>
    <x v="2"/>
    <d v="2023-06-10T00:00:00"/>
    <s v="Free sample 20pcs"/>
  </r>
  <r>
    <n v="24"/>
    <m/>
    <s v="KF222M016G200A"/>
    <s v="2200uF 16V"/>
    <s v="CAP AL 2200uF 20% 16V 0.045ohm 1.62A -40°C to +105°C D10*20mm DIP"/>
    <s v="C552"/>
    <s v="ECAP_D10_H25_P5"/>
    <n v="1"/>
    <s v="CapXon(丰宾) "/>
    <n v="5"/>
    <m/>
    <x v="0"/>
    <m/>
    <s v="有库存料"/>
  </r>
  <r>
    <n v="25"/>
    <m/>
    <s v="EMK212AB7475KGHT"/>
    <s v="4.7uF 10% 16V X7R 0805"/>
    <s v="CAP CER 4.7uF 16V ±10%  X7R 0805 SMD"/>
    <s v="C600, C628, C629, C637, C647, C872, C874, C875, C876, C877, C883, C885"/>
    <s v="C0805"/>
    <n v="12"/>
    <s v="TAIYO YUDEN"/>
    <n v="60"/>
    <n v="100"/>
    <x v="0"/>
    <m/>
    <s v="KS ICT 已收到样品"/>
  </r>
  <r>
    <n v="26"/>
    <m/>
    <s v="AC0402JRNPO9BN220"/>
    <s v="22pF 5% 50V NP0 0402"/>
    <s v="CAP CER 22pF 5% 50V NP0 0402 SMD"/>
    <s v=" C605,C606, C608, C840, C848, C849, C858, C859, C937"/>
    <s v="C0402"/>
    <n v="9"/>
    <s v="YAGEO"/>
    <n v="45"/>
    <m/>
    <x v="0"/>
    <m/>
    <s v="有库存料"/>
  </r>
  <r>
    <n v="27"/>
    <m/>
    <s v="UMK107B7103KAHT"/>
    <s v="10nF 10% 50V X7R 0603"/>
    <s v="CAP CER 10nF 10% 50V X7R 0603 SMD"/>
    <s v="C626"/>
    <s v="C0603"/>
    <n v="1"/>
    <s v="TAIYO YUDEN"/>
    <n v="5"/>
    <n v="100"/>
    <x v="0"/>
    <m/>
    <s v="KS ICT 已收到样品"/>
  </r>
  <r>
    <n v="28"/>
    <m/>
    <s v="JMK107B7225KAHTR"/>
    <s v="2.2uF 6.3V ±10% X7R 0603"/>
    <s v="CAP CER 2.2uF 6.3V ±10% X7R 0603 SMD"/>
    <s v="C627, C630, C631, C632, C633, C634"/>
    <s v="C0603"/>
    <n v="6"/>
    <s v="TAIYO YUDEN"/>
    <n v="30"/>
    <n v="100"/>
    <x v="0"/>
    <m/>
    <s v="KS ICT 已收到样品"/>
  </r>
  <r>
    <n v="29"/>
    <s v="13100-S002171H-00"/>
    <s v="GCM1555C1H100JA16D"/>
    <s v="10pF 50V±5% C0G  0402"/>
    <s v="CAP CER 10pF 50V±5% C0G 0402 SMD"/>
    <s v="C635, C636, C865, C867"/>
    <s v="C0402"/>
    <n v="4"/>
    <s v="Murata"/>
    <n v="20"/>
    <m/>
    <x v="2"/>
    <s v="TBD"/>
    <s v="ICT采购已下单300pcs，交期TBD"/>
  </r>
  <r>
    <n v="30"/>
    <m/>
    <s v="CC0603KRX7R9BB104 "/>
    <s v="100nF 10% 50V X7R 0603"/>
    <s v="CAP CER 100nF 10% 50V X7R 0603 SMD"/>
    <s v="C638, C639, C640, C641, C642, C643, C644, C645, C646, C826, C853, C854, C855, C857, C860, C862, C863, C864, C866, C871, C878, C879, C880, C881, C882, C890, C891, C892, C893, C895, C897, C898, C900, C902, C903, C904, C957, C958, C959, C960, C961, C962, C930, C936"/>
    <s v="C0603"/>
    <n v="44"/>
    <s v="YAGEO"/>
    <n v="220"/>
    <n v="200"/>
    <x v="2"/>
    <m/>
    <s v="有库存料"/>
  </r>
  <r>
    <n v="31"/>
    <m/>
    <s v="CC0402JRX7R9BB104"/>
    <s v="0.1uF 50V 5% X7R 0402"/>
    <s v="CAP CER 0.1uF 50V 5% X7R 0402 SMD"/>
    <s v="C702, C724"/>
    <s v="C0402"/>
    <n v="2"/>
    <s v="YAGEO"/>
    <n v="10"/>
    <m/>
    <x v="0"/>
    <m/>
    <s v="有库存料"/>
  </r>
  <r>
    <n v="32"/>
    <m/>
    <s v="CL10B104KB8WPNC"/>
    <s v="0.1uF 50V 10% X7R 0603"/>
    <s v="CAP CER 0.1uF 50V 10% X7R 0603 SMD"/>
    <s v="C703, C718, C747, C907, C914, C915，C802, C805, C917, C918, C921, C922，C939"/>
    <s v="C0603"/>
    <n v="13"/>
    <s v="SAMSUNG"/>
    <n v="65"/>
    <n v="100"/>
    <x v="0"/>
    <m/>
    <s v="KS ICT 已收到样品"/>
  </r>
  <r>
    <n v="33"/>
    <s v="13100-S020796H-00"/>
    <s v="AC0603KRX7R9BB103"/>
    <s v="0.01uF 50V 10% 0603"/>
    <s v="CAP CER 0.01uF 50V 10% X7R 0603 AEC-Q200 SMD"/>
    <s v="C704"/>
    <s v="C0603"/>
    <n v="1"/>
    <s v="YAGEO"/>
    <n v="5"/>
    <m/>
    <x v="0"/>
    <m/>
    <s v="WIC001共用料,待确认挪用数量"/>
  </r>
  <r>
    <n v="34"/>
    <m/>
    <s v="CC0402KRX7R9BB104"/>
    <s v="0.1uF 50V 10% X7R 0402"/>
    <s v="CAP CER 0.1uF 50V 10% X7R 0402 SMD"/>
    <s v="C705, C706, C711, C725，C714"/>
    <s v="C0402"/>
    <n v="5"/>
    <s v="YAGEO"/>
    <n v="25"/>
    <m/>
    <x v="0"/>
    <m/>
    <s v="有库存料"/>
  </r>
  <r>
    <n v="35"/>
    <m/>
    <s v="CC0402KRX7R9BB103"/>
    <s v="0.01uF 50V 10% X7R 0402"/>
    <s v="CAP CER 0.01uF 50V 10% X7R 0402 SMD"/>
    <s v="C707, C726, C715"/>
    <s v="C0402"/>
    <n v="3"/>
    <s v="YAGEO(国巨)"/>
    <n v="15"/>
    <m/>
    <x v="0"/>
    <m/>
    <s v="有库存料"/>
  </r>
  <r>
    <n v="36"/>
    <s v="13100-S020823H-00"/>
    <s v="CC0402FRNPO9BN151"/>
    <s v="150pF 50V 1% 0402"/>
    <s v="CAP CER 150pF 50V 1% C0G/NP0 AEC-Q200 0402 SMD"/>
    <s v="C710"/>
    <s v="C0402"/>
    <n v="1"/>
    <s v="YAGEO"/>
    <n v="5"/>
    <m/>
    <x v="0"/>
    <m/>
    <s v="有库存料"/>
  </r>
  <r>
    <n v="37"/>
    <s v="13100-S010200H-00"/>
    <s v="CL10A225KA8NNNC"/>
    <s v="2.2uF 25V 10% 0603"/>
    <s v="CAP CER 2.2uF 25V 10% X5R 0603 SMD"/>
    <s v="C712, C803, C804, C806, C807, C908"/>
    <s v="C0603"/>
    <n v="6"/>
    <s v="SAMSUNG"/>
    <n v="30"/>
    <n v="100"/>
    <x v="0"/>
    <m/>
    <s v="KS ICT 已收到样品"/>
  </r>
  <r>
    <n v="38"/>
    <s v="13100-S050289H-00"/>
    <s v="UMK105CG270JVHF"/>
    <s v="27pF 50V±5% C0G  0402"/>
    <s v="CAP CER 27pF 50V±5% C0G  0402 SMD"/>
    <s v="C716"/>
    <s v="C0402"/>
    <n v="1"/>
    <s v="TAIYO YUDEN"/>
    <n v="5"/>
    <n v="100"/>
    <x v="0"/>
    <m/>
    <s v="KS ICT 已收到样品"/>
  </r>
  <r>
    <n v="39"/>
    <s v="13100-S001447H-00"/>
    <s v="GCM155R72A102JA37D"/>
    <s v="1000pF 100V 5% 0402"/>
    <s v="CAP CER 1000pF 100V 5% X7R 0402 AEC-Q200 SMD"/>
    <s v="C720, C730, C733, C737, C741, C748, C749"/>
    <s v="C0402"/>
    <n v="7"/>
    <s v="Murata"/>
    <n v="35"/>
    <m/>
    <x v="0"/>
    <m/>
    <s v="WIC001共用料, 待确认挪用数量"/>
  </r>
  <r>
    <n v="40"/>
    <s v="13100-S050265H-00"/>
    <s v="UMK105CG471JVHF"/>
    <s v="470pF 50V 5% 0402"/>
    <s v="CAP CER 470pF 50V 5% C0G/NP0 0402 AEC-Q200 SMD"/>
    <s v="C721, C811, C820"/>
    <s v="C0402"/>
    <n v="3"/>
    <s v="Taiyo"/>
    <n v="15"/>
    <n v="100"/>
    <x v="0"/>
    <m/>
    <s v="KS ICT 已收到样品"/>
  </r>
  <r>
    <n v="41"/>
    <s v="13100-S001489H-00"/>
    <s v="GRM155R71H162JA01D"/>
    <s v="1600pF 50V 5% 0402"/>
    <s v="CAP CER 1600pF 50V 5% X7R 0402 AEC-Q200 SMD"/>
    <s v="C728, C738"/>
    <s v="C0402"/>
    <n v="2"/>
    <s v="Murata"/>
    <n v="10"/>
    <m/>
    <x v="0"/>
    <m/>
    <s v="WIC001共用料, 待确认挪用数量"/>
  </r>
  <r>
    <n v="42"/>
    <s v="13100-S050283H-00"/>
    <s v="UMK105CG200JVHF"/>
    <s v="20pF 50V 5% 0402"/>
    <s v="CAP CER 20pF 50V 5% C0G/NP0 0402 AEC-Q200 SMD"/>
    <s v="C729, C736, C743, C750"/>
    <s v="C0402"/>
    <n v="4"/>
    <s v="Taiyo"/>
    <n v="20"/>
    <n v="100"/>
    <x v="0"/>
    <m/>
    <s v="KS ICT 已收到样品"/>
  </r>
  <r>
    <n v="43"/>
    <s v="13100-S011048H-00"/>
    <s v="CL21A106KBYQNNE"/>
    <s v="10uF 35V 10% 0805"/>
    <s v="CAP CER 10uF 35V 10% X5R 0805 SMD"/>
    <s v="C731, C734, C739, C742, C746, C906, C911, C912, C913,"/>
    <s v="C0805"/>
    <n v="9"/>
    <s v="SAMSUNG"/>
    <n v="45"/>
    <n v="100"/>
    <x v="0"/>
    <m/>
    <s v="KS ICT 已收到样品"/>
  </r>
  <r>
    <n v="44"/>
    <m/>
    <s v="CL21A106KPFNNNE"/>
    <s v="10uF 10V 10% 0805"/>
    <m/>
    <s v=" C719"/>
    <s v="C0805"/>
    <n v="1"/>
    <s v="SAMSUNG"/>
    <n v="5"/>
    <m/>
    <x v="0"/>
    <m/>
    <s v="有库存料"/>
  </r>
  <r>
    <n v="45"/>
    <s v="13100-S0S0124H-00"/>
    <s v="C0603C471GAGAC7867"/>
    <s v="470pF/250V/1%"/>
    <s v="CAP CER 470pF 250V 1% C0G/NP0 0603 SMD"/>
    <s v="C800, C801, C815, C816"/>
    <s v="C0603"/>
    <n v="4"/>
    <s v="KEMET"/>
    <n v="20"/>
    <m/>
    <x v="0"/>
    <m/>
    <s v="WIC001共用料，待确认挪用数量"/>
  </r>
  <r>
    <n v="46"/>
    <m/>
    <m/>
    <s v="91pF/250V/1%C0G/NP0 0603 SMD"/>
    <m/>
    <s v="C808, C809, C817, C818"/>
    <s v="C0603"/>
    <n v="4"/>
    <m/>
    <n v="20"/>
    <m/>
    <x v="0"/>
    <m/>
    <s v="已购入"/>
  </r>
  <r>
    <n v="47"/>
    <s v="13100-S001421H-00"/>
    <s v="GCM1555C1H221GA16D"/>
    <s v="220pF 50V 2% 0402"/>
    <s v="CAP CER 220pF 50V 2% C0G/NPO 0402 SMD"/>
    <s v="C812, C813, C844"/>
    <s v="C0402"/>
    <n v="2"/>
    <s v="Murata"/>
    <n v="10"/>
    <m/>
    <x v="0"/>
    <m/>
    <s v="WIC001共用料, 待确认挪用数量"/>
  </r>
  <r>
    <n v="48"/>
    <m/>
    <s v="UMK107C7224KAHTE"/>
    <s v="220nF/25V/0603"/>
    <s v="CAP CER 220nF 50V ±10% X7S 0603"/>
    <s v="C821, C828"/>
    <s v="C0603"/>
    <n v="2"/>
    <s v="TAIYO YUDEN"/>
    <n v="10"/>
    <n v="100"/>
    <x v="0"/>
    <m/>
    <s v="KS ICT 已收到样品"/>
  </r>
  <r>
    <n v="49"/>
    <m/>
    <s v="GRM155R61H224KE01D"/>
    <s v="220nF 10% 50V X7R 0402"/>
    <s v="CAP CER 0.22uF 10% 50V X5R 0402"/>
    <s v="C833"/>
    <s v="C0402"/>
    <n v="1"/>
    <s v="Murata"/>
    <n v="5"/>
    <m/>
    <x v="0"/>
    <s v="TBD"/>
    <s v="有库存料"/>
  </r>
  <r>
    <n v="50"/>
    <m/>
    <s v="CGA3E3X7R1H474KT000N"/>
    <s v="470nF 10% 50V X7R 0603"/>
    <s v="CAP CER 470nF 10% 50V X7R 0603 SMD"/>
    <s v="C861, C901"/>
    <s v="C0603"/>
    <n v="2"/>
    <s v="TDK"/>
    <n v="10"/>
    <m/>
    <x v="0"/>
    <m/>
    <s v="有库存料"/>
  </r>
  <r>
    <n v="51"/>
    <s v="13100-S002094H-00"/>
    <s v="GCM1555C1H120JA16D"/>
    <s v="12pF 50V ±5% C0G 0402"/>
    <s v="CAP CER 12pF 50V ±5% C0G/NPO 0402 SMD"/>
    <s v="C868, C869"/>
    <s v="C0402"/>
    <n v="2"/>
    <s v="Murata"/>
    <n v="10"/>
    <m/>
    <x v="2"/>
    <s v="TBD"/>
    <s v="ICT采购已下单，交期TBD"/>
  </r>
  <r>
    <n v="52"/>
    <s v="13100-S050232H-00"/>
    <s v="UMK212B7105KGHT"/>
    <s v="1uF 50V ±10% X7R 0805"/>
    <s v="CAP CER 1uF 50V ±10% X7R 0805 SMD"/>
    <s v="C884, C894, C896，C212, C217"/>
    <s v="C0805"/>
    <n v="5"/>
    <s v="TAIYO YUDEN"/>
    <n v="25"/>
    <n v="100"/>
    <x v="0"/>
    <m/>
    <s v="KS ICT 已收到样品"/>
  </r>
  <r>
    <n v="53"/>
    <s v="13100-S020239H-00"/>
    <s v="CC0805KKX7R9BB684"/>
    <s v="680nF 50V 10% X7R 0805"/>
    <s v="CAP CER 680nF 50V 10% X7R 0805 SMD"/>
    <s v="C887, C888, C889"/>
    <s v="C0805"/>
    <n v="3"/>
    <s v="YAGEO"/>
    <n v="15"/>
    <n v="100"/>
    <x v="0"/>
    <m/>
    <s v="KS ICT已收到样品"/>
  </r>
  <r>
    <n v="54"/>
    <m/>
    <s v="UMK105CG181JVHF"/>
    <s v="180pF 50V±0.5 C0G  0402"/>
    <s v="CAP CER 180pF 50V±0.5 C0G 0402 SMD"/>
    <s v="C899"/>
    <s v="C0402"/>
    <n v="1"/>
    <s v="TAIYO YUDEN"/>
    <n v="5"/>
    <n v="100"/>
    <x v="0"/>
    <m/>
    <s v="KS ICT 已收到样品"/>
  </r>
  <r>
    <n v="55"/>
    <s v="13100-S001388H-00"/>
    <s v="GRM31CR61A476KE15L"/>
    <s v="47uF 10V 10% 1206"/>
    <s v="CAP CER 47uF 10V 10% X5R 1206 SMD"/>
    <s v="C905, C910"/>
    <s v="C1206"/>
    <n v="2"/>
    <s v="Murata"/>
    <n v="10"/>
    <m/>
    <x v="0"/>
    <m/>
    <s v="WIC001共用料, 待确认挪用数量"/>
  </r>
  <r>
    <n v="56"/>
    <s v="13100-S010497H-00"/>
    <s v="CL21Y475KBBVPNE"/>
    <s v="4.7uF/25V/0805"/>
    <s v="CAP CER 4.7uF 50V 10% X7S 0805 SMD"/>
    <s v="C213, C553, C554, C942, C946，"/>
    <s v="C0805"/>
    <n v="5"/>
    <s v="SAMSUNG"/>
    <n v="25"/>
    <n v="100"/>
    <x v="0"/>
    <m/>
    <s v="KS ICT 已收到样品"/>
  </r>
  <r>
    <n v="57"/>
    <m/>
    <s v="0805B475K500NT"/>
    <s v="4.7uF/50V/0805"/>
    <m/>
    <s v="C909, C916"/>
    <s v="C0805"/>
    <n v="2"/>
    <s v="FH(风华) "/>
    <n v="10"/>
    <m/>
    <x v="0"/>
    <m/>
    <s v="已购入"/>
  </r>
  <r>
    <n v="58"/>
    <m/>
    <s v="CC0805KRX7R9BB472"/>
    <s v="4.7nF/250V/0805"/>
    <s v="CAP CER 4700PF 10% 50V X7R 0805"/>
    <s v="C923, C931，C928"/>
    <s v="C0805"/>
    <n v="3"/>
    <s v="YAGEO"/>
    <n v="15"/>
    <m/>
    <x v="0"/>
    <m/>
    <s v="已购入"/>
  </r>
  <r>
    <n v="59"/>
    <m/>
    <s v="1206B472K102NT"/>
    <s v="4.7nF/1000V"/>
    <s v="CAP CER 4.7nF 10% 1KV X7R 1206"/>
    <s v="C925"/>
    <s v="C1206"/>
    <n v="1"/>
    <s v="FH(风华) "/>
    <n v="5"/>
    <m/>
    <x v="0"/>
    <s v="TBD"/>
    <s v="有库存料"/>
  </r>
  <r>
    <n v="60"/>
    <m/>
    <s v="EEEFKE151XSP"/>
    <s v="150uF 25V"/>
    <s v="CAP AL 150uF 20% 25V 280mA 340mohm D6.3xL7.7mm SMD"/>
    <s v="C926, C934"/>
    <s v="CE_D6_3_L7_7_MVY"/>
    <n v="2"/>
    <s v="PANASONIC(松下) "/>
    <n v="10"/>
    <m/>
    <x v="0"/>
    <m/>
    <s v="有库存料"/>
  </r>
  <r>
    <n v="61"/>
    <m/>
    <s v="EEEFK1H330XP"/>
    <s v="33uF 25V 20%"/>
    <s v="CAP AL 33uF 20% 50V 146.3mA D6.3xL7.7mm SMD"/>
    <s v="C927, C933"/>
    <s v="CE_D6_3_L7_7_MVY"/>
    <n v="2"/>
    <s v="PANASONIC(松下) "/>
    <n v="10"/>
    <m/>
    <x v="0"/>
    <m/>
    <s v="有库存料"/>
  </r>
  <r>
    <n v="62"/>
    <m/>
    <s v="CC0402JRNPO9BN470"/>
    <s v="47pF 5% 50V NP0 0402"/>
    <s v="CAP CER 47pF 5% 50V NP0 0402 SMD"/>
    <s v="C945, C953"/>
    <s v="C0402"/>
    <n v="2"/>
    <s v="YAGEO"/>
    <n v="10"/>
    <m/>
    <x v="0"/>
    <m/>
    <s v="有库存料"/>
  </r>
  <r>
    <n v="63"/>
    <m/>
    <s v="连接器，待规格确定后，再备料"/>
    <s v="Connector 1"/>
    <s v="Header, 1-Pin"/>
    <s v="CN100, CN101"/>
    <s v="端子10x8x16"/>
    <n v="2"/>
    <m/>
    <n v="10"/>
    <m/>
    <x v="3"/>
    <m/>
    <s v="南京备料"/>
  </r>
  <r>
    <n v="64"/>
    <m/>
    <s v="连接器，待规格确定后，再备料"/>
    <s v="Connector 1"/>
    <s v="Header, 1-Pin"/>
    <s v="CN102, CN103, CN507, CN508"/>
    <s v="Wire_2.5_Hook"/>
    <n v="4"/>
    <m/>
    <n v="20"/>
    <m/>
    <x v="3"/>
    <m/>
    <s v="南京备料"/>
  </r>
  <r>
    <n v="65"/>
    <m/>
    <s v="连接器，待规格确定后，再备料"/>
    <s v="Connector 1"/>
    <s v="Header, 1-Pin"/>
    <s v="CN104, CN105, CN201, CN504, CN505"/>
    <s v="CON_4"/>
    <n v="5"/>
    <m/>
    <n v="25"/>
    <m/>
    <x v="3"/>
    <m/>
    <s v="南京备料"/>
  </r>
  <r>
    <n v="66"/>
    <m/>
    <s v="连接器，待规格确定后，再备料"/>
    <s v="Connector 1"/>
    <s v="Header, 1-Pin"/>
    <s v="CN200"/>
    <s v="CON_4-7*5"/>
    <n v="1"/>
    <m/>
    <n v="5"/>
    <m/>
    <x v="3"/>
    <m/>
    <s v="南京备料"/>
  </r>
  <r>
    <n v="67"/>
    <m/>
    <s v="连接器，待规格确定后，再备料"/>
    <s v="Connector 1"/>
    <s v="Header, 1-Pin"/>
    <s v="CN500, CN501, CN502, CN503"/>
    <s v="CN-M4-45A"/>
    <n v="4"/>
    <m/>
    <n v="20"/>
    <m/>
    <x v="3"/>
    <m/>
    <s v="南京备料"/>
  </r>
  <r>
    <n v="68"/>
    <m/>
    <s v="连接器，待规格确定后，再备料"/>
    <s v="TBP1000-2P"/>
    <s v="公头 立式 2Pin 2.5mm THT"/>
    <s v="CN506"/>
    <s v="CON_TB1000_00_2P"/>
    <n v="1"/>
    <m/>
    <n v="5"/>
    <m/>
    <x v="3"/>
    <m/>
    <s v="预留，不备料"/>
  </r>
  <r>
    <n v="69"/>
    <m/>
    <s v="A2008WV-2P"/>
    <s v="A2008WV-2P"/>
    <s v="Wafer 180°, 2.0mm Pitch, 2PIN, White, DIP"/>
    <s v="CN600, CN601, CN602, CN603, CN604, CN605, CN805，CN701, CN806"/>
    <s v="HY_2MM_1*2P_90MOLEX01"/>
    <n v="9"/>
    <s v="CJT"/>
    <n v="45"/>
    <m/>
    <x v="3"/>
    <m/>
    <s v="已向CJT代理商申请50pcs A2008WV-2P样品"/>
  </r>
  <r>
    <n v="70"/>
    <m/>
    <s v="A2008WV-2x3P"/>
    <s v="A2008WV-2x3P"/>
    <s v="Wafer 180°, 2.0mm Pitch, Dual Row, 2x3P PIN, White, DIP"/>
    <s v="CN800"/>
    <s v="CN6-PIN2"/>
    <n v="1"/>
    <s v="CJT"/>
    <n v="5"/>
    <m/>
    <x v="3"/>
    <m/>
    <s v="已申请8pcs A2008WV-2x3P样品"/>
  </r>
  <r>
    <n v="71"/>
    <m/>
    <s v="A2008WV-2x6P"/>
    <s v="A2008WV-2x6P"/>
    <s v="Wafer 180°, 2.0mm Pitch, Dual Row, 2x6P PIN, White, DIP"/>
    <s v="CN801"/>
    <s v="J_P2MM_2*6"/>
    <n v="1"/>
    <s v="CJT"/>
    <n v="5"/>
    <m/>
    <x v="3"/>
    <m/>
    <s v="已申请8pcs A2008WV-2x6P样品"/>
  </r>
  <r>
    <n v="72"/>
    <m/>
    <s v="A2008WV-4P"/>
    <s v="A2008WV-4P"/>
    <s v="Wafer 180°, 2.0mm Pitch, 4PIN, White, DIP"/>
    <s v="CN802，CN804"/>
    <s v="HY_2MM_1*4P_90MOLEX01"/>
    <n v="2"/>
    <s v="CJT"/>
    <n v="10"/>
    <m/>
    <x v="3"/>
    <m/>
    <s v="已申请15pcs A2008WV-4P样品"/>
  </r>
  <r>
    <n v="73"/>
    <m/>
    <s v="A2541WV-2P"/>
    <s v="A2541WV-2P"/>
    <s v="Header, 2.54mm Pitch, 2PIN, Black, DIP"/>
    <s v="CN803"/>
    <s v="CN2PRO - DingZhen-2.54mm"/>
    <n v="1"/>
    <s v="CJT"/>
    <n v="5"/>
    <m/>
    <x v="3"/>
    <m/>
    <s v="已申请8pcs A2541WV-2P样品"/>
  </r>
  <r>
    <n v="74"/>
    <m/>
    <s v="DE1E3KX222MA4BP01F"/>
    <s v="2.2nF/250Vac/Y1"/>
    <s v="X1,Y1 2.2nF 20% 300Vac D9.0*7.0mm F=10mm DIP"/>
    <s v="CY100, CY101, CY102, CY104, CY105, CY106"/>
    <s v="C_DISK_7.5- D14"/>
    <n v="6"/>
    <s v="muRata(村田) "/>
    <n v="30"/>
    <m/>
    <x v="0"/>
    <m/>
    <s v="有库存料"/>
  </r>
  <r>
    <n v="75"/>
    <m/>
    <s v="DE2E3KY472MA3BM02F"/>
    <s v="4.7nF/250Vac/Y2"/>
    <s v="X1,Y2 4.7nF 20% Y2 250Vac D10*5.0mm F=7.5mm DIP"/>
    <s v="CY103"/>
    <s v="C_DISK_8_0S"/>
    <n v="1"/>
    <s v="muRata(村田) "/>
    <n v="5"/>
    <m/>
    <x v="0"/>
    <m/>
    <s v="有库存料"/>
  </r>
  <r>
    <n v="76"/>
    <m/>
    <s v="DE2F3KY103MA3BM02F"/>
    <s v="10nF/250Vac/Y2"/>
    <s v="X1,Y2 10nF 20% Y2 250Vac D14*5.0mm F=7.5mm DIP"/>
    <s v="CY400, CY401"/>
    <s v="C_DISK_7.5- D14"/>
    <n v="2"/>
    <s v="muRata(村田) "/>
    <n v="10"/>
    <m/>
    <x v="0"/>
    <m/>
    <s v="有库存料"/>
  </r>
  <r>
    <n v="77"/>
    <m/>
    <s v="DE2E3KY222MA3BM02F"/>
    <s v="2.2nF/250Vac/Y2"/>
    <s v="X1,Y2 2.2nF 20% Y2 250Vac D8.0*5.0mm F=7.5mm DIP"/>
    <s v="CY500, CY501, CY502, CY503, CY504, CY505"/>
    <s v="C_DISK_8_0S"/>
    <n v="6"/>
    <s v="muRata(村田) "/>
    <n v="30"/>
    <m/>
    <x v="0"/>
    <m/>
    <s v="有库存料"/>
  </r>
  <r>
    <n v="78"/>
    <m/>
    <s v="1N4148W"/>
    <s v="1N4148W"/>
    <s v="DIODE SW 75V 150mA 400mW SOD123"/>
    <s v="D100"/>
    <s v="D_SOD123"/>
    <n v="1"/>
    <s v="YANGJIE(扬杰)"/>
    <n v="5"/>
    <m/>
    <x v="0"/>
    <m/>
    <s v="有库存料"/>
  </r>
  <r>
    <n v="79"/>
    <m/>
    <s v="PMEG4010BEA-QX"/>
    <s v="PMEG4010BEA-QX"/>
    <s v="DIODE SCHOTTKY 40V 1A AEC-Q101 SOD-323"/>
    <s v="D200, D201, D203, D205, D206, D207, D209, D211, D212, D213, D214, D215"/>
    <s v="D_SOD323"/>
    <n v="12"/>
    <s v="Nexperia"/>
    <n v="60"/>
    <m/>
    <x v="0"/>
    <m/>
    <s v="有库存料"/>
  </r>
  <r>
    <n v="80"/>
    <m/>
    <s v="S8KC-13"/>
    <s v="S8KC-13"/>
    <s v="DIODE 800V 8A DO-214AB(SMC)"/>
    <s v="D202, D208, D500"/>
    <s v="D_SMC"/>
    <n v="3"/>
    <s v="DIODES(美台)"/>
    <n v="15"/>
    <m/>
    <x v="0"/>
    <m/>
    <s v="有库存料"/>
  </r>
  <r>
    <n v="81"/>
    <m/>
    <s v="ES1J-LTP"/>
    <s v="ES1J-LTP"/>
    <s v="DIODE Super Fast Recovery Rectifier 600V 1A 35nS DO-214AC"/>
    <s v="D204, D210, D404, D405, D511, D516"/>
    <s v="DO-214AC"/>
    <n v="6"/>
    <s v="MCC(美微科)"/>
    <n v="30"/>
    <m/>
    <x v="0"/>
    <m/>
    <s v="有库存料"/>
  </r>
  <r>
    <n v="82"/>
    <m/>
    <s v="BAS516-TP"/>
    <s v="BAS516-TP"/>
    <s v="DIODE GEN PURP 100V 250mA SOD523"/>
    <s v="D300, D600, D601, D602, D900, D907, D910, D911, D804, D805, D806, D807, D808, D812, D813"/>
    <s v="D_SOD-523_SC-79"/>
    <n v="15"/>
    <s v="MCC(美微科)"/>
    <n v="75"/>
    <m/>
    <x v="0"/>
    <m/>
    <s v="有库存料"/>
  </r>
  <r>
    <n v="83"/>
    <m/>
    <s v="1PS79SB40,115"/>
    <s v="1PS79SB40,115"/>
    <s v="DIODE SCHOTTKY 40V 120mA AEC-Q101 SOD523"/>
    <s v="D400, D401, D402, D403, D501, D502, D505, D506, D518，D802, D803, D811"/>
    <s v="D_SOD-523_SC-79"/>
    <n v="12"/>
    <s v="Nexperia"/>
    <n v="60"/>
    <m/>
    <x v="0"/>
    <m/>
    <s v="有库存料"/>
  </r>
  <r>
    <n v="84"/>
    <s v="1330A-S010003H-00"/>
    <s v="1N4148WSQ-7-F"/>
    <s v="DIODE,1N4148WSQ-7-F,75V,150mA, SOD-323"/>
    <s v="DIODE SW 75V 150mA 4ns SOD-323 SMD"/>
    <s v="D503, D504, D507, D508, D509"/>
    <s v="D_SOD323"/>
    <n v="5"/>
    <s v="DIODES"/>
    <n v="25"/>
    <n v="50"/>
    <x v="0"/>
    <m/>
    <s v="有库存料"/>
  </r>
  <r>
    <n v="85"/>
    <m/>
    <s v="PMEG4030ER,115"/>
    <s v="PMEG4030ER,115"/>
    <s v="DIODE SCHOTTKY 40V 3A SOD123W"/>
    <s v="D519"/>
    <s v="D_SOD123"/>
    <n v="1"/>
    <s v="Nexperia"/>
    <n v="5"/>
    <m/>
    <x v="0"/>
    <s v="TBD"/>
    <s v="已购入"/>
  </r>
  <r>
    <n v="86"/>
    <m/>
    <s v="PMEG2010BELD"/>
    <s v="20V 1A"/>
    <s v="DIODE SBD 20V 1A SOD-882D AEC-Q101"/>
    <s v="D700, D701"/>
    <s v="SOD-882D"/>
    <n v="2"/>
    <s v="NXP"/>
    <n v="10"/>
    <m/>
    <x v="2"/>
    <m/>
    <s v="WIC001共用料, 待确认挪用数量"/>
  </r>
  <r>
    <n v="87"/>
    <m/>
    <s v="SP1545L"/>
    <s v="SP1545L/TO277/江苏长电"/>
    <s v="DIODE Schottky 45V 15A TO-277 SMD"/>
    <s v="D800"/>
    <s v="D_TO277"/>
    <n v="1"/>
    <s v="CJ(江苏长电/长晶) "/>
    <n v="5"/>
    <m/>
    <x v="0"/>
    <s v="TBD"/>
    <s v="有库存料"/>
  </r>
  <r>
    <n v="88"/>
    <m/>
    <s v="PMEG4010CEAX"/>
    <s v="PMEG4010CEAX（PMEG4010BEA)"/>
    <s v="DIODE SCHOTTKY 40V 1A SOD323"/>
    <s v="D801, D814"/>
    <s v="D_SOD323"/>
    <n v="2"/>
    <s v="Nexperia"/>
    <n v="10"/>
    <m/>
    <x v="0"/>
    <m/>
    <s v="有库存料"/>
  </r>
  <r>
    <n v="89"/>
    <m/>
    <s v="BAT54ST-7-F"/>
    <s v="BAT54ST"/>
    <s v="DIODE ARRAY SCHOTTKY 30V 200mA SOT523"/>
    <s v="D809, D810"/>
    <s v="D_SOT-523"/>
    <n v="2"/>
    <s v="DIODES"/>
    <n v="10"/>
    <m/>
    <x v="0"/>
    <m/>
    <s v="有库存料"/>
  </r>
  <r>
    <n v="90"/>
    <m/>
    <s v="NUP2105LT1G"/>
    <s v="NUP2105LT1G"/>
    <s v="TVS DIODE 24VWM 44V 8A 350W SOT23"/>
    <s v="D815, D816"/>
    <s v="D_SOT-23"/>
    <n v="2"/>
    <s v="onsemi"/>
    <n v="10"/>
    <m/>
    <x v="0"/>
    <m/>
    <s v="有库存料"/>
  </r>
  <r>
    <n v="91"/>
    <m/>
    <s v="ES1J"/>
    <s v="ES1J"/>
    <s v="DIODE Super Fast Recovery Rectifier 600V 1A 35nS  DO-214AC(SMA)"/>
    <s v="D901, D903, D905"/>
    <s v="DO-214AC"/>
    <n v="3"/>
    <s v="YANGJIE(扬杰) "/>
    <n v="15"/>
    <m/>
    <x v="0"/>
    <m/>
    <s v="有库存料"/>
  </r>
  <r>
    <n v="92"/>
    <m/>
    <s v="1SMA4744H"/>
    <s v="1SMA4744A"/>
    <s v="DIODE ZENER 15V 1.25W AEC-Q101 DO-214AC(SMA) "/>
    <s v="D902, D906"/>
    <s v="DO-214AC"/>
    <n v="2"/>
    <s v="Taiwan Semiconductor Corporation"/>
    <n v="10"/>
    <m/>
    <x v="0"/>
    <m/>
    <s v="已购入"/>
  </r>
  <r>
    <n v="93"/>
    <m/>
    <s v="RS1K-13-F"/>
    <s v="RS1K-13-F"/>
    <s v="DIODE Fast Recovery Rectifier 800V 1A 500ns SMA"/>
    <s v="D904"/>
    <s v="DO-214AC"/>
    <n v="1"/>
    <s v="DIODES"/>
    <n v="5"/>
    <m/>
    <x v="0"/>
    <s v="TBD"/>
    <s v="有库存料"/>
  </r>
  <r>
    <n v="94"/>
    <m/>
    <s v="BAV21WS"/>
    <s v="BAV21WS"/>
    <s v="DIODE GEN PURP 250V 200mA 250mW SOD323"/>
    <s v="D908, D909"/>
    <s v="D_SOD323"/>
    <n v="2"/>
    <s v="YANGJIE(扬杰) "/>
    <n v="10"/>
    <m/>
    <x v="0"/>
    <m/>
    <s v="有库存料"/>
  </r>
  <r>
    <n v="95"/>
    <m/>
    <s v="B140-E3"/>
    <s v="B140-E3"/>
    <s v="DIODE,SCHOTTKY,40V,1A,DO-214AC,SMD"/>
    <s v="D912，D913"/>
    <s v="DO-214AC"/>
    <n v="2"/>
    <s v="Vishay(威世)"/>
    <n v="10"/>
    <m/>
    <x v="0"/>
    <m/>
    <s v="有库存料"/>
  </r>
  <r>
    <n v="96"/>
    <m/>
    <s v="ALT2WM561R45KTZP"/>
    <s v="560uF/450V"/>
    <s v="CAP AL 560uF 20% 450V φ_35mm*L_45mm -40℃～+105℃ 5000H@105°C AEC-Q200"/>
    <s v="EC200, EC201, EC202, EC203"/>
    <s v="Ecap_D35(e1)_H25"/>
    <n v="4"/>
    <s v="AiShi(艾华)"/>
    <n v="20"/>
    <m/>
    <x v="2"/>
    <d v="2023-06-10T00:00:00"/>
    <s v="Free sample 25pcs "/>
  </r>
  <r>
    <n v="97"/>
    <m/>
    <s v="UDA-A 025"/>
    <s v="UDA-A 25A 250V（功德）"/>
    <s v="FUSE,BOX TYPE,Time-Lag Fuse,25A,250Vac,0.0018ohm,UDA-A"/>
    <s v="F100, F101"/>
    <s v="Fuse-5.0-N_Vertical"/>
    <n v="2"/>
    <s v="功德"/>
    <n v="10"/>
    <m/>
    <x v="2"/>
    <m/>
    <s v="待购入"/>
  </r>
  <r>
    <n v="98"/>
    <m/>
    <s v="BLM18KG221SH1D"/>
    <s v="BLM18KG221SH1D"/>
    <s v="Ferrite Bead 220Ω±25％@100MHz 2.2A 0.05Ω AEC-Q200 0603"/>
    <s v="F301, F600, F601, F800"/>
    <s v="R0603"/>
    <n v="4"/>
    <s v="Murata"/>
    <n v="20"/>
    <m/>
    <x v="2"/>
    <m/>
    <s v="待购入"/>
  </r>
  <r>
    <n v="99"/>
    <m/>
    <s v="GZ2012D601TF"/>
    <m/>
    <s v="600Ω@100MHz 误差：±25% 直流电阻(RDC)：300mΩ"/>
    <s v="F500, F501, F900"/>
    <s v="R0805"/>
    <n v="3"/>
    <m/>
    <m/>
    <m/>
    <x v="0"/>
    <m/>
    <s v="已购入"/>
  </r>
  <r>
    <n v="100"/>
    <m/>
    <s v="X1321WVS-2X07J-C40D53"/>
    <s v="60013-01471-001"/>
    <s v="排针，黑色，双排，间距：1.27mm，2*7P，方针，1A，250V ，立贴"/>
    <s v="H600, H800"/>
    <s v="HDR-SMD_14P-P1.27-V-M-R2-C7-LS5.3"/>
    <n v="2"/>
    <s v="Aces"/>
    <n v="10"/>
    <n v="20"/>
    <x v="0"/>
    <m/>
    <s v="已备料"/>
  </r>
  <r>
    <n v="101"/>
    <m/>
    <s v="SI8238BD‐D‐IS"/>
    <s v="SI8238BD‐D‐IS"/>
    <s v="DGTL ISO 5KV 2CH GATE DVR 16-SOIC"/>
    <s v="IC200, IC201, IC400, IC401, IC500, IC501"/>
    <s v="SOIC_W_16"/>
    <n v="6"/>
    <s v="Skyworks Solutions Inc"/>
    <n v="30"/>
    <m/>
    <x v="0"/>
    <m/>
    <s v="有库存料"/>
  </r>
  <r>
    <n v="102"/>
    <m/>
    <s v="JWH7917SOTA#TRPBF"/>
    <s v="JWH7917SOTA#TRPBF"/>
    <s v="IC, Low-Side Gate Driver ,Single-Channel, 4A High-Speed, SOT23-5"/>
    <s v="IC502, IC503"/>
    <s v="SOT23-5"/>
    <n v="2"/>
    <s v="JoulWatt"/>
    <n v="10"/>
    <m/>
    <x v="0"/>
    <s v="TBD"/>
    <s v="已购入"/>
  </r>
  <r>
    <n v="103"/>
    <m/>
    <s v="OPA365AQDBVRQ1"/>
    <s v="OPA365AQDBVRQ1"/>
    <s v="IC OPAMP GP 1 CIRCUIT AEC-Q100 SOT23-5"/>
    <s v="IC800"/>
    <s v="SOT23-5"/>
    <n v="1"/>
    <s v="Texas Instruments"/>
    <n v="5"/>
    <m/>
    <x v="2"/>
    <m/>
    <s v="待购入"/>
  </r>
  <r>
    <n v="104"/>
    <m/>
    <s v="连接器，待规格确定后，再备料"/>
    <s v="AO-10/4J-K3/2"/>
    <s v=""/>
    <s v="JL400"/>
    <s v="CON_4-7*5"/>
    <n v="1"/>
    <m/>
    <n v="5"/>
    <m/>
    <x v="2"/>
    <m/>
    <s v="南京备料，待确认交期"/>
  </r>
  <r>
    <n v="105"/>
    <m/>
    <s v="待夏工给出具体规格及规格书"/>
    <s v="立式 PCB端子8.5*6.5*13mm 螺孔M3 黄铜"/>
    <s v=""/>
    <s v="JL401"/>
    <s v="CON_4"/>
    <n v="1"/>
    <m/>
    <n v="5"/>
    <m/>
    <x v="2"/>
    <m/>
    <s v="南京备料，待确认交期"/>
  </r>
  <r>
    <n v="106"/>
    <m/>
    <s v="207XT-1AH1-F-C"/>
    <s v="207XT-1AH1-F-C"/>
    <s v="RELAY 1A(SPNO) 32A 277VAC 12VDC"/>
    <s v="K100, K500"/>
    <s v="RELAY_110E"/>
    <n v="2"/>
    <s v="松川"/>
    <n v="10"/>
    <m/>
    <x v="2"/>
    <m/>
    <s v="待购入"/>
  </r>
  <r>
    <n v="107"/>
    <s v="13703-DN10001H-00"/>
    <s v="J115F11CH12VDCS61.5"/>
    <s v="J115F11CH12VDCS61.5"/>
    <s v="RELAY, SPDT, J115F11CH12VDCS61.5, DC12, HF"/>
    <s v="K501, K502"/>
    <s v="J115F11C"/>
    <n v="2"/>
    <s v="CIT"/>
    <n v="10"/>
    <m/>
    <x v="2"/>
    <s v="TBD"/>
    <s v="通知PM备料16pcs，交期待确认"/>
  </r>
  <r>
    <n v="108"/>
    <m/>
    <s v="J115F11AH12VDCS61.5"/>
    <s v="J115F11AH12VDCS61.5"/>
    <s v="RELAY,50A 240VAC, J115F11AH12VDCS61.5, DC12, HF"/>
    <s v="K503, K504"/>
    <s v="J115F11A"/>
    <n v="2"/>
    <s v="CIT"/>
    <n v="10"/>
    <n v="14"/>
    <x v="0"/>
    <m/>
    <m/>
  </r>
  <r>
    <n v="109"/>
    <m/>
    <s v="定制料"/>
    <s v="PFC_CHOKE 铂科EQH5032-60  0.1*400线 40圈"/>
    <s v="Inductor"/>
    <s v="L200"/>
    <s v="EQ5032-60 立式"/>
    <n v="1"/>
    <m/>
    <n v="5"/>
    <m/>
    <x v="2"/>
    <m/>
    <s v="南京备料，待确认交期"/>
  </r>
  <r>
    <n v="110"/>
    <m/>
    <s v="定制料"/>
    <s v="8uH/R12x40/10Ts"/>
    <s v="Inductor rod type"/>
    <s v="L500"/>
    <s v="R10*35.5"/>
    <n v="1"/>
    <m/>
    <n v="5"/>
    <m/>
    <x v="2"/>
    <m/>
    <s v="南京备料，待确认交期"/>
  </r>
  <r>
    <n v="111"/>
    <m/>
    <s v="ACM12V-701-2PL-TL00"/>
    <s v="ACM12V-701-2PL-TL00"/>
    <s v="CMC 7.6uH 8A 700Ω@100MHz 6mΩ "/>
    <s v="L802"/>
    <s v="ACM12V-701-2PL-TL00"/>
    <n v="1"/>
    <s v="TDK"/>
    <n v="5"/>
    <m/>
    <x v="2"/>
    <m/>
    <s v="WIC001共用料,待确认挪用数量"/>
  </r>
  <r>
    <n v="112"/>
    <m/>
    <s v="SWPA252010S3R3MT"/>
    <s v="SWPA252010S3R3MT"/>
    <s v="IND 3.3uH ±20%  328mOHM 900mA Isat=1.05A 2.5mm*2.0mm*1.0mm SMD"/>
    <s v="L900, L901"/>
    <s v="SWPA252010S"/>
    <n v="2"/>
    <s v="Sunlord"/>
    <n v="10"/>
    <m/>
    <x v="0"/>
    <m/>
    <s v="有库存料"/>
  </r>
  <r>
    <n v="113"/>
    <m/>
    <s v="SWPA5020S3R3MT"/>
    <s v="SWPA5020S3R3MT"/>
    <s v="IND 3.3uH ±20% 0.056OHM 2.5A 5.0mm*5.0mm*2.0mm SMD"/>
    <s v="L902"/>
    <s v="IND-SMD_L5.0-W5.0"/>
    <n v="1"/>
    <s v="Sunlord"/>
    <n v="5"/>
    <m/>
    <x v="0"/>
    <m/>
    <s v="有库存料"/>
  </r>
  <r>
    <n v="114"/>
    <m/>
    <s v="TLMG1100-GS08"/>
    <s v="TLMG1100-GS08"/>
    <s v="LED GREEN 2.1V 0603 AEC-Q101 SMD"/>
    <s v="LED600,LED700, LED800, LED801, LED802, LED803"/>
    <s v="LED_0603"/>
    <n v="6"/>
    <s v="Vishay"/>
    <n v="30"/>
    <m/>
    <x v="0"/>
    <m/>
    <s v="有库存料"/>
  </r>
  <r>
    <n v="115"/>
    <m/>
    <s v="定制料"/>
    <s v="定制磁件"/>
    <s v=""/>
    <s v="LF100, LF101, LF500, LF501"/>
    <s v="L_31*19*15_C"/>
    <n v="4"/>
    <m/>
    <n v="20"/>
    <m/>
    <x v="2"/>
    <m/>
    <s v="南京备料，待确认交期"/>
  </r>
  <r>
    <n v="116"/>
    <m/>
    <s v="定制料"/>
    <s v="CS"/>
    <s v="current transformer"/>
    <s v="LF200, LF201"/>
    <s v="GATE DRIVER EE5_0"/>
    <n v="2"/>
    <m/>
    <n v="10"/>
    <m/>
    <x v="2"/>
    <m/>
    <s v="南京备料，待确认交期"/>
  </r>
  <r>
    <n v="117"/>
    <m/>
    <s v="ACT45B-510-2P-TL003"/>
    <s v="ACT45B-510-2P-TL003"/>
    <s v="CMC 51uH 200mA 2LN 2.8KOHM@10MHz 4.5mm*3.2mm*3.0mm AEC-Q200 SMD"/>
    <s v="LF800, LF801, LF802, LF803, LF804, LF805, LF806, LF807, LF808, LF809, LF810, LF811, LF812, LF813"/>
    <s v="L_4.5*3.2*2.8"/>
    <n v="14"/>
    <s v="TDK"/>
    <n v="70"/>
    <m/>
    <x v="0"/>
    <m/>
    <s v="有库存料"/>
  </r>
  <r>
    <n v="118"/>
    <s v="030-D001-0034"/>
    <s v="1909763-1"/>
    <s v="1909763-1"/>
    <s v="Connector, Receptacle, U.FL,  RF/Coaxial, Gold, 50 ohm Jack, DC-6GHZ"/>
    <s v="P802"/>
    <s v="TE_1909763-1"/>
    <n v="1"/>
    <s v="TE Connectivity"/>
    <n v="5"/>
    <m/>
    <x v="2"/>
    <m/>
    <s v="WIC001共用料,待确认挪用数量"/>
  </r>
  <r>
    <n v="119"/>
    <m/>
    <s v="RHP020N06T100"/>
    <s v="RHP020N06T100"/>
    <s v="MOSFET N-CH 60V 2A 200mohm SOT89"/>
    <s v="Q100"/>
    <s v="SOT89_MI"/>
    <n v="1"/>
    <s v="Rohm"/>
    <n v="5"/>
    <m/>
    <x v="0"/>
    <m/>
    <s v="有库存料"/>
  </r>
  <r>
    <n v="120"/>
    <m/>
    <s v="AIKW50N65RF5"/>
    <s v="AIKW50N65RF5"/>
    <s v=""/>
    <s v="Q200, Q202, Q203, Q205"/>
    <s v="Q_TO-247_TH _1"/>
    <n v="4"/>
    <m/>
    <n v="20"/>
    <m/>
    <x v="2"/>
    <m/>
    <s v="待购入"/>
  </r>
  <r>
    <n v="121"/>
    <m/>
    <s v="SRC60R022B"/>
    <s v="SRC60R022B"/>
    <s v="N MOS FET"/>
    <s v="Q201, Q204"/>
    <s v="Q_TO-247_TH _1"/>
    <n v="2"/>
    <m/>
    <n v="10"/>
    <n v="30"/>
    <x v="0"/>
    <m/>
    <s v="KS ICT 已收到样品"/>
  </r>
  <r>
    <n v="122"/>
    <m/>
    <s v="BAV99W"/>
    <s v="BAV99WQ-7-F"/>
    <s v="DIODE SW 75V 150mA 200mW AEC-Q101 SOD323"/>
    <s v="Q206, Q207, Q208, Q209"/>
    <s v="SOT323 - 2"/>
    <n v="4"/>
    <s v="Diodes"/>
    <n v="20"/>
    <m/>
    <x v="0"/>
    <s v="TBD"/>
    <s v="有库存料"/>
  </r>
  <r>
    <n v="123"/>
    <m/>
    <s v="BAV99T-TP"/>
    <s v="BAV99T-TP"/>
    <s v="DIODE ARRAY GP 85V 75mA SOT523"/>
    <s v="Q300, Q301, Q509, Q510, Q600, Q601"/>
    <s v="D_SOT-523"/>
    <n v="6"/>
    <s v="Micro Commercial Co"/>
    <n v="30"/>
    <m/>
    <x v="0"/>
    <m/>
    <s v="有库存料"/>
  </r>
  <r>
    <n v="124"/>
    <m/>
    <s v="IPW65R048CFDA"/>
    <s v="IPW65R048CFDA"/>
    <s v="N MOS FET"/>
    <s v="Q400, Q401, Q404, Q405"/>
    <s v="Q_TO-247_TH _1"/>
    <n v="4"/>
    <m/>
    <n v="20"/>
    <n v="10"/>
    <x v="2"/>
    <m/>
    <s v="另外15pcs样品 待确认交期"/>
  </r>
  <r>
    <n v="125"/>
    <m/>
    <s v="PMV30XPEAR"/>
    <s v="PMV30XPEAR"/>
    <s v="MOSFET P-CH 20V 4.5A TO236AB AEC-Q101"/>
    <s v="Q402, Q403, Q406, Q407, Q502, Q503, Q507, Q508"/>
    <s v="D_SOT-23"/>
    <n v="8"/>
    <s v="Nexperia"/>
    <n v="40"/>
    <m/>
    <x v="0"/>
    <m/>
    <s v="有库存料"/>
  </r>
  <r>
    <n v="126"/>
    <m/>
    <s v="IPW65R022CFD7A"/>
    <s v="IPW65R022CFD7A"/>
    <s v="N MOS FET"/>
    <s v="Q500, Q501, Q505, Q506"/>
    <s v="Q_TO-247_TH _1"/>
    <n v="4"/>
    <m/>
    <n v="20"/>
    <n v="10"/>
    <x v="2"/>
    <m/>
    <s v="另外15pcs样品 待确认交期"/>
  </r>
  <r>
    <n v="127"/>
    <m/>
    <s v="2V7002KT1G"/>
    <s v="2V7002KT1G"/>
    <s v="MOSFET N-Channel, 60V,380mA, AEC-Q101,SOT-23"/>
    <s v="Q504, Q511, Q512, Q513, Q514, Q700"/>
    <s v="Q_SOT23 - 2"/>
    <n v="6"/>
    <s v="onsemi(安森美)"/>
    <n v="30"/>
    <m/>
    <x v="0"/>
    <m/>
    <s v="已收到  替代料：Nexperia\ 2N7002BK "/>
  </r>
  <r>
    <n v="128"/>
    <m/>
    <s v="SMMBT3904LT1G"/>
    <s v="SMMBT3904LT1G"/>
    <s v="TRANS NPN 40V 0.2A 300mW SOT23-3  AEC−Q101 "/>
    <s v="Q701, Q702"/>
    <s v="SOT-23-3"/>
    <n v="2"/>
    <s v="onsemi(安森美)"/>
    <n v="10"/>
    <m/>
    <x v="0"/>
    <s v="TBD"/>
    <s v="有库存料"/>
  </r>
  <r>
    <n v="129"/>
    <m/>
    <s v="NX3008NBKW,115"/>
    <s v="NX3008NBKW,115"/>
    <s v="MOSFET N-Channel 30V 350mA SOT-323-3"/>
    <s v="Q800, Q801, Q802, Q803, Q804, Q805"/>
    <s v="SOT323"/>
    <n v="6"/>
    <s v="Nexperia"/>
    <n v="30"/>
    <m/>
    <x v="2"/>
    <m/>
    <s v="WIC001共用料, 待确认挪用数量"/>
  </r>
  <r>
    <n v="130"/>
    <m/>
    <s v="YJG80GP06B"/>
    <s v="YJG80GP06B"/>
    <s v="MOSFET P-Channel -60V -80A 8.5mΩ PDFN5060"/>
    <s v="Q806"/>
    <s v="Q_PG_TDSON_8"/>
    <n v="1"/>
    <s v="Yangjie"/>
    <n v="5"/>
    <m/>
    <x v="0"/>
    <m/>
    <s v="有库存料"/>
  </r>
  <r>
    <n v="131"/>
    <m/>
    <s v="DMP3099L-13"/>
    <s v="DMP3099L-13"/>
    <s v="MOSFET P-CH -30V -3.8A SOT23"/>
    <s v="Q807"/>
    <s v="Q_SOT23 - 2"/>
    <n v="1"/>
    <s v="Diodes"/>
    <n v="5"/>
    <m/>
    <x v="0"/>
    <m/>
    <s v="有库存料"/>
  </r>
  <r>
    <n v="132"/>
    <m/>
    <s v="PMST4403,115"/>
    <s v="PMST4403,115"/>
    <s v="TRANS PNP 40V 0.6A 200mW SOT323 AEC-Q101"/>
    <s v="Q808，Q820"/>
    <s v="Q_SOT323 - 2"/>
    <n v="2"/>
    <s v="Nexperia"/>
    <n v="10"/>
    <m/>
    <x v="0"/>
    <m/>
    <s v="有库存料"/>
  </r>
  <r>
    <n v="133"/>
    <m/>
    <s v="2N7002BKW,115"/>
    <s v="2N7002BKW,115"/>
    <s v="MOSFET N-CH 60V 310mA 275mW SOT323 AEC-Q101"/>
    <s v="Q809, Q810, Q811, Q812, Q813, Q815, Q816, Q817, Q818, Q821, Q822"/>
    <s v="Q_SOT323 - 2"/>
    <n v="11"/>
    <s v="Nexperia"/>
    <n v="55"/>
    <m/>
    <x v="0"/>
    <m/>
    <s v="有库存料"/>
  </r>
  <r>
    <n v="134"/>
    <m/>
    <s v="PMST4401,115"/>
    <s v="PMST4401,115"/>
    <s v="TRANS NPN 40V 0.6A 200mW SOT323 AEC-Q101"/>
    <s v="Q814, Q819"/>
    <s v="Q_SOT323 - 2"/>
    <n v="2"/>
    <s v="Nexperia"/>
    <n v="10"/>
    <m/>
    <x v="0"/>
    <m/>
    <s v="有库存料"/>
  </r>
  <r>
    <n v="135"/>
    <m/>
    <s v="NJVMJD31CT4G--------&gt;Nexperia\ MJD31CA(采购推荐替代料)"/>
    <s v="NJVMJD31CT4G--------&gt;Nexperia\ MJD31CA(采购推荐替代料)"/>
    <s v="TR NPN 100V 3A AEC-Q101 TO-252-2(DPAK)"/>
    <s v="Q823"/>
    <s v="TO-252-2_L6.6-W6.1-P4.57-LS9.9-BR-CW"/>
    <n v="1"/>
    <s v="Nexperia"/>
    <n v="5"/>
    <m/>
    <x v="0"/>
    <m/>
    <s v="ICT  收到 Nexperia\ MJD31CA"/>
  </r>
  <r>
    <n v="136"/>
    <m/>
    <s v="BSS138BKW,115"/>
    <s v="BSS138BKW,115"/>
    <s v="MOSFET N-Channel 60V 320mA SOT-323 AEC-Q101"/>
    <s v="Q824"/>
    <s v="SOT323"/>
    <n v="1"/>
    <s v="Nexperia"/>
    <n v="5"/>
    <m/>
    <x v="2"/>
    <m/>
    <s v="WIC001共用料, 待确认挪用数量"/>
  </r>
  <r>
    <n v="137"/>
    <m/>
    <s v="JMSH1003AG"/>
    <s v="JMSH1003AG"/>
    <s v="MOSFET N-Channel 100V 144A 2.8mΩ PDFN5x6-8L"/>
    <s v="Q900"/>
    <s v="Q_PG_TDSON_8"/>
    <n v="1"/>
    <s v="JJM(捷捷微)"/>
    <n v="5"/>
    <m/>
    <x v="2"/>
    <s v="TBD"/>
    <s v="有库存料"/>
  </r>
  <r>
    <n v="138"/>
    <m/>
    <s v="RWU07F120R0"/>
    <s v="RWU07F120R0"/>
    <s v="RES Wire-wound 120OHM 5% 7W DIP"/>
    <s v="R100, R101, R500"/>
    <s v="R7W-N"/>
    <n v="3"/>
    <s v="YAGEO"/>
    <n v="15"/>
    <m/>
    <x v="0"/>
    <m/>
    <s v="有库存料"/>
  </r>
  <r>
    <n v="139"/>
    <m/>
    <s v="MFR-25FTE52-33R"/>
    <s v="33R/dip-1/4w"/>
    <s v="RES Metal Film 33OHM 1% 1/4W DIP "/>
    <s v="R102"/>
    <s v="R1/4W"/>
    <n v="1"/>
    <s v="YAGEO"/>
    <n v="5"/>
    <m/>
    <x v="0"/>
    <m/>
    <s v="有库存料"/>
  </r>
  <r>
    <n v="140"/>
    <m/>
    <s v="MFR-25FTE52-330K"/>
    <s v="330K/dip-1/4w"/>
    <s v="RES Metal Film 330KOHM 1% 1/4W DIP "/>
    <s v="R103, R104, R107, R108"/>
    <s v="R1/4W"/>
    <n v="4"/>
    <s v="YAGEO"/>
    <n v="20"/>
    <m/>
    <x v="0"/>
    <m/>
    <s v="有库存料"/>
  </r>
  <r>
    <n v="141"/>
    <s v="13000-S170079H-00"/>
    <s v="RMC1/16SK100FTH"/>
    <s v="10R 1% 1/10W 0402"/>
    <s v="RES Thick Film 10R 1% 1/10W 0402 SMD"/>
    <s v="R105, R505, R632, R633, R634, R645, R646, R647, R648, R649, R650, R651, R652, R653, R732, R734, R746, R753, R756, R759, R762, R764, R791, R794, R795, R796, R797, R798, R799, R1004, R1005, R1006,R1028,R1029,R223, R513, R518, R525, R532"/>
    <s v="R0402"/>
    <n v="39"/>
    <s v="KAMAYA"/>
    <n v="195"/>
    <n v="200"/>
    <x v="0"/>
    <m/>
    <s v="KS ICT 已收到样品"/>
  </r>
  <r>
    <n v="142"/>
    <s v="13000-S002415H-00"/>
    <s v="AC0402FR-0710KL"/>
    <s v="10K 1/16W 1% 0402"/>
    <s v="RES Thick Film 10K 1/16W 1% 0402 SMD"/>
    <s v="R106, R201, R203, R206, R209, R211, R212, R215, R324, R506, R516, R520, R543, R555, R602, R603, R609, R611, R617, R619, R620, R621, R625, R628, R629, R631, R742, R771, R773, R785, R867, R868, R874, R880, R883, R897, R901, R902, R905, R910, R911,R1015,R711, R745, R747, R750, R751, R752, R761, R763, R765, R769, R776, R778, R789, R790, R803, R804, R814, R823, R830, R919, R920, R921, R922, R923, R924, R925, R942, R943, R957, R958, R960, R961, R962"/>
    <s v="R0402"/>
    <n v="75"/>
    <s v="YAGEO"/>
    <n v="375"/>
    <m/>
    <x v="2"/>
    <m/>
    <s v="KS ICT 已收到样品, 待确认数量"/>
  </r>
  <r>
    <n v="143"/>
    <m/>
    <s v="AC1206FR-07392KL"/>
    <s v="392K 1% 1/4W 1206"/>
    <s v="RES Thick Film 392K 1% 1/4W 1206 SMD"/>
    <s v="R109, R110, R111, R112, R113, R114, R549, R550, R551, R554, R557, R558, R601, R604, R606, R607, R608, R612, R613, R614, R616, R618"/>
    <s v="R1206"/>
    <n v="22"/>
    <s v="YAGEO(国巨) "/>
    <n v="110"/>
    <m/>
    <x v="0"/>
    <m/>
    <s v="有库存料"/>
  </r>
  <r>
    <n v="144"/>
    <m/>
    <s v="AC0805FR-7W10RL"/>
    <s v="10R 1% 1/4W 1206"/>
    <s v="RES Thick Film 10R 1% 1/4W 1206 SMD"/>
    <s v="R200, R202, R204, R207, R208, R214，R971"/>
    <s v="R1206"/>
    <n v="7"/>
    <s v="YAGEO"/>
    <n v="35"/>
    <m/>
    <x v="0"/>
    <m/>
    <s v="有库存料"/>
  </r>
  <r>
    <n v="145"/>
    <m/>
    <m/>
    <s v="400R/RXM0309"/>
    <s v="RESISTOR"/>
    <s v="R205, R210"/>
    <s v="RXM0309"/>
    <n v="2"/>
    <m/>
    <n v="10"/>
    <m/>
    <x v="0"/>
    <m/>
    <s v="有库存料"/>
  </r>
  <r>
    <n v="146"/>
    <s v="13000-S170013H-00"/>
    <s v="RMC1/16SK203FTH"/>
    <s v="20K 1% 1/16W 0402"/>
    <s v="RES Thick Film 20K 1% 1/16W 0402 SMD"/>
    <s v="R213, R844, R848, R849, R851, R865, R869"/>
    <s v="R0402"/>
    <n v="7"/>
    <s v="KAMAYA"/>
    <n v="35"/>
    <n v="200"/>
    <x v="0"/>
    <m/>
    <s v="KS ICT 已收到样品"/>
  </r>
  <r>
    <n v="147"/>
    <m/>
    <s v="AC0402FR-07390RL"/>
    <s v="390R 1% 1/16W 0402"/>
    <s v="RES Thick Film 390R 1% 1/16W 0402 SMD"/>
    <s v="R216, R217, R224, R226, R408, R409, R414, R415, R523, R524, R544, R545"/>
    <s v="R0402"/>
    <n v="12"/>
    <s v="YAGEO"/>
    <n v="60"/>
    <m/>
    <x v="0"/>
    <m/>
    <s v="有库存料"/>
  </r>
  <r>
    <n v="148"/>
    <m/>
    <s v="AC0402FR-073K92L"/>
    <s v="3.92K 1% 1/16W 0402"/>
    <s v="RES Thick Film 3.92K 1% 1/16W 0402 SMD"/>
    <s v="R219, R220, R227, R228, R410, R411, R416, R417, R530, R531, R546, R547"/>
    <s v="R0402"/>
    <n v="12"/>
    <s v="YAGEO(国巨) "/>
    <n v="60"/>
    <m/>
    <x v="0"/>
    <m/>
    <s v="有库存料"/>
  </r>
  <r>
    <n v="149"/>
    <m/>
    <s v="0805W8F510KT5E"/>
    <s v="5R1 1% 1/8W 0805"/>
    <s v="RES Thick Film 5R1 1% 1/8W 0805 SMD"/>
    <s v="R221, R229"/>
    <s v="R0805"/>
    <n v="2"/>
    <s v="UNI-ROYAL(厚声)"/>
    <n v="10"/>
    <m/>
    <x v="0"/>
    <m/>
    <s v="有库存料"/>
  </r>
  <r>
    <n v="150"/>
    <m/>
    <s v="AC0805FR-072RL"/>
    <s v="2R 1% 1/4W 0805"/>
    <s v="RES Thick Film 2R 1% 1/4W 0805 SMD"/>
    <s v="R222, R230"/>
    <s v="R0805"/>
    <n v="2"/>
    <s v="YAGEO"/>
    <n v="10"/>
    <m/>
    <x v="0"/>
    <m/>
    <s v="有库存料"/>
  </r>
  <r>
    <n v="151"/>
    <m/>
    <s v="RC0805FR-0710KL"/>
    <s v="10K 1% 1/8W 0805"/>
    <s v="RES Thick Film 10K 1% 1/8W 0805 SMD"/>
    <s v="R225, R231"/>
    <s v="R0805"/>
    <n v="2"/>
    <s v="YAGEO"/>
    <n v="10"/>
    <m/>
    <x v="0"/>
    <m/>
    <s v="有库存料"/>
  </r>
  <r>
    <n v="152"/>
    <s v="13000-S170046H-00"/>
    <s v="RMC1/16SK101FTH"/>
    <s v="100R 1% 1/10W 0402"/>
    <s v="RES Thick Film 100R 1% 1/10W 0402 SMD"/>
    <s v="R300, R301, R302, R303, R304, R305, R306, R307, R308, R309, R310, R311, R842, R846，R722"/>
    <s v="R0402"/>
    <n v="15"/>
    <s v="KAMAYA"/>
    <n v="75"/>
    <n v="200"/>
    <x v="0"/>
    <m/>
    <s v="KS ICT 已收到样品"/>
  </r>
  <r>
    <n v="153"/>
    <m/>
    <s v="0805W8F3923T5E"/>
    <s v="392K 1% 1/8W 0805"/>
    <s v="RES Thick Film 392K 1% 1/8W 0805 SMD"/>
    <s v="R312, R313, R314, R315"/>
    <s v="R0805"/>
    <n v="4"/>
    <s v="UNI-ROYAL(厚声) "/>
    <n v="20"/>
    <m/>
    <x v="0"/>
    <m/>
    <s v="有库存料"/>
  </r>
  <r>
    <n v="154"/>
    <m/>
    <s v="0402WGF2492TCE"/>
    <s v="24.9K 1% 1/16W 0402"/>
    <s v="RES Thick Film 24.9K 1% 1/16W 0402 SMD"/>
    <s v="R316"/>
    <s v="R0402"/>
    <n v="1"/>
    <s v="UNI-ROYAL(厚声) "/>
    <n v="5"/>
    <m/>
    <x v="0"/>
    <m/>
    <s v="有库存料"/>
  </r>
  <r>
    <n v="155"/>
    <m/>
    <s v="0402WGF1152TCE"/>
    <s v="11.5K 1% 1/16W 0402"/>
    <s v="RES Thick Film 11.5K 1% 1/16W 0402 SMD"/>
    <s v="R317"/>
    <s v="R0402"/>
    <n v="1"/>
    <s v="UNI-ROYAL(厚声)"/>
    <n v="5"/>
    <m/>
    <x v="0"/>
    <m/>
    <s v="有库存料"/>
  </r>
  <r>
    <n v="156"/>
    <s v="13000-S00264HH-00"/>
    <s v="RC0402FR-071KL"/>
    <s v="1K 1% 1/16W 0402"/>
    <s v="RES Thick Film 1K 1% 1/16W 0402 SMD"/>
    <s v="R318, R321, R514, R515, R517, R519, R526, R533, R541, R552, R624, R627, R637, R741, R743, R749, R784, R864, R909"/>
    <s v="R0402"/>
    <n v="19"/>
    <s v="YAGEO"/>
    <n v="95"/>
    <n v="200"/>
    <x v="0"/>
    <m/>
    <s v="KS ICT 已收到样品"/>
  </r>
  <r>
    <n v="157"/>
    <m/>
    <s v="0805W8F1001T5E"/>
    <s v="1K 1% 1/8W 0805"/>
    <s v="RES Thick Film 1K 1% 1/8W 0805 SMD"/>
    <s v="R319, R626"/>
    <s v="R0805"/>
    <n v="2"/>
    <s v="UNI-ROYAL(厚声)"/>
    <n v="10"/>
    <m/>
    <x v="0"/>
    <m/>
    <s v="有库存料"/>
  </r>
  <r>
    <n v="158"/>
    <s v="13000-S000984H-00"/>
    <s v="AC0402FR-075K1L"/>
    <s v="5.1K 1% 1/16W 0402"/>
    <s v="RES Thick Film 5.1K 1% 1/16W 0402 SMD"/>
    <s v="R320"/>
    <s v="R0402"/>
    <n v="1"/>
    <s v="YAGEO(国巨)"/>
    <n v="5"/>
    <n v="100"/>
    <x v="0"/>
    <m/>
    <s v="KS ICT 已收到样品"/>
  </r>
  <r>
    <n v="159"/>
    <m/>
    <s v="0402WGF8251TCE"/>
    <s v="8.25K 1% 1/16W 0402"/>
    <s v="RES Thick Film 8.25K 1% 1/16W 0402 SMD"/>
    <s v="R322, R323"/>
    <s v="R0402"/>
    <n v="2"/>
    <s v="UNI-ROYAL(厚声) "/>
    <n v="10"/>
    <m/>
    <x v="0"/>
    <m/>
    <s v="有库存料"/>
  </r>
  <r>
    <n v="160"/>
    <m/>
    <s v="0402WGF470JTCE"/>
    <s v="47R 1% 1/16W 0402"/>
    <s v="RES Thick Film 47R 1% 1/16W 0402 SMD"/>
    <s v="R325, R326, R327"/>
    <s v="R0402"/>
    <n v="3"/>
    <s v="UNI-ROYAL(厚声)"/>
    <n v="15"/>
    <m/>
    <x v="0"/>
    <m/>
    <s v="有库存料"/>
  </r>
  <r>
    <n v="161"/>
    <m/>
    <s v="AC1206FR-0730RL"/>
    <s v="30R 1% 1/4W 1206"/>
    <s v="RES Thick Film 30R 1% 1/4W 1206 SMD"/>
    <s v="R400, R401, R404, R405, R501, R502, R507, R508"/>
    <s v="R1206"/>
    <n v="8"/>
    <s v="YAGEO"/>
    <n v="40"/>
    <m/>
    <x v="0"/>
    <m/>
    <s v="有库存料"/>
  </r>
  <r>
    <n v="162"/>
    <s v="13000-S040324H-00"/>
    <s v="0402WGF1502TCE"/>
    <s v="15K 1% 1/16W 0402 "/>
    <s v="RES Thick Film 15K 1% 1/16W 0402 SMD"/>
    <s v="R402, R403, R406, R407, R503, R504, R509, R510, R840, R871, R872"/>
    <s v="R0402"/>
    <n v="11"/>
    <s v="UNI-ROYAL(厚声)"/>
    <n v="55"/>
    <n v="200"/>
    <x v="0"/>
    <m/>
    <s v="KS ICT 已收到样品"/>
  </r>
  <r>
    <n v="163"/>
    <m/>
    <s v="AC0805FR-071RL"/>
    <s v="1R 1% 1/8W 0805"/>
    <s v="RES Thick Film 1R 1% 1/8W 0805 SMD"/>
    <s v="R412, R418, R535, R548"/>
    <s v="R0805"/>
    <n v="4"/>
    <s v="YAGEO"/>
    <n v="20"/>
    <m/>
    <x v="0"/>
    <m/>
    <s v="有库存料"/>
  </r>
  <r>
    <n v="164"/>
    <m/>
    <s v="AC0402FR-0751K5L"/>
    <s v="51.1K 1% 1/16W 0402"/>
    <s v="RES Thick Film 51.1K 1% 1/16W 0402 SMD"/>
    <s v="R511, R521, R522, R536, R833, R834, R838"/>
    <s v="R0402"/>
    <n v="7"/>
    <s v="YAGEO"/>
    <n v="35"/>
    <m/>
    <x v="0"/>
    <m/>
    <s v="有库存料"/>
  </r>
  <r>
    <n v="165"/>
    <m/>
    <s v="PA2512FKF7T0R002E"/>
    <s v="2mR"/>
    <s v="RES current sense 0.001R 3W 0.5%"/>
    <s v="R512,R527"/>
    <s v="R2512"/>
    <n v="2"/>
    <s v="Vishay"/>
    <n v="10"/>
    <m/>
    <x v="0"/>
    <m/>
    <s v="有库存料"/>
  </r>
  <r>
    <n v="166"/>
    <m/>
    <s v="1206W4F0000T5E"/>
    <s v="0R/1206"/>
    <m/>
    <s v="R528, R964, R969"/>
    <s v="R1206"/>
    <n v="3"/>
    <s v="UNI-ROYAL(厚声)"/>
    <n v="15"/>
    <m/>
    <x v="1"/>
    <m/>
    <s v="有库存料"/>
  </r>
  <r>
    <n v="167"/>
    <s v="13000-S00157HH-00"/>
    <s v="RC0402FR-07330RL"/>
    <s v="330R 1% 1/16W 0402"/>
    <s v="RES Thick Film 330R 1% 1/16W 0402 SMD"/>
    <s v="R534"/>
    <s v="R0402"/>
    <n v="1"/>
    <s v="YAGEO"/>
    <n v="5"/>
    <n v="200"/>
    <x v="0"/>
    <m/>
    <s v="KS ICT 已收到样品"/>
  </r>
  <r>
    <n v="168"/>
    <m/>
    <s v="AC1206FR-072RL"/>
    <s v="2R 1% 1/4W 1206"/>
    <s v="RES Thick Film 2R 1% 1/4W 1206 SMD"/>
    <s v="R556"/>
    <s v="R1206"/>
    <n v="1"/>
    <s v="YAGEO"/>
    <n v="5"/>
    <m/>
    <x v="0"/>
    <m/>
    <s v="有库存料"/>
  </r>
  <r>
    <n v="169"/>
    <s v="13000-S170034H-00"/>
    <s v="RMC1/16SJPTH"/>
    <s v="0R 1/10W 1% 0402"/>
    <s v="RES Thick Film 0R 1% 1/10W 0402 SMD"/>
    <s v="R600, R622, R623，R724, R726, R737，R899, R900, R906, R907，R999,R1022,R1023,R1026,R1027"/>
    <s v="R0402"/>
    <n v="15"/>
    <s v="KAMAYA"/>
    <n v="75"/>
    <n v="200"/>
    <x v="0"/>
    <m/>
    <s v="KS ICT 已收到样品"/>
  </r>
  <r>
    <n v="170"/>
    <s v="13000-S002422H-00"/>
    <s v="AC0402FR-0749R9L"/>
    <s v="49R9 1/10W 1% 0402"/>
    <s v="RES Thick Film 49R9 1/10W 1% 0402 SMD"/>
    <s v="R605, R610, R615, R709, R735, R915,R1019"/>
    <s v="R0402"/>
    <n v="6"/>
    <s v="YAGEO"/>
    <n v="30"/>
    <m/>
    <x v="2"/>
    <m/>
    <s v="WIC001共用料, 待确认挪用数量"/>
  </r>
  <r>
    <n v="171"/>
    <s v="13000-S170049H-00"/>
    <s v="RMC1/16K472FTP"/>
    <s v="4.7K 1% 1/10W 0603"/>
    <s v="RES Thick Film 4.7K 1% 1/10W 0603 SMD"/>
    <s v="R638"/>
    <s v="R0603"/>
    <n v="1"/>
    <s v="KAMAYA"/>
    <n v="5"/>
    <n v="200"/>
    <x v="0"/>
    <m/>
    <s v="KS ICT 已收到样品"/>
  </r>
  <r>
    <n v="172"/>
    <s v="13000-S002416H-00"/>
    <s v="AC0402FR-071ML"/>
    <s v="1M 1% 1/16W 0402"/>
    <s v="RES Thick Film 1M 1/16W 1% 0402 SMD"/>
    <s v="R639, R903, R744, R760, R775, R792"/>
    <s v="R0402"/>
    <n v="6"/>
    <s v="YAGEO"/>
    <n v="30"/>
    <n v="100"/>
    <x v="0"/>
    <m/>
    <s v="KS ICT 已收到样品"/>
  </r>
  <r>
    <n v="173"/>
    <s v="13000-S170109H-00"/>
    <s v="RMC1/16SK471FTH"/>
    <s v="470R 1% 1/10W 0402"/>
    <s v="RES Thick Film 470R 1% 1/10W 0402 SMD"/>
    <s v="R640, R642"/>
    <s v="R0402"/>
    <n v="2"/>
    <s v="KAMAYA"/>
    <n v="10"/>
    <n v="200"/>
    <x v="0"/>
    <m/>
    <s v="KS ICT 已收到样品"/>
  </r>
  <r>
    <n v="174"/>
    <s v="13000-S170047H-00"/>
    <s v="RMC1/16SK202FTH"/>
    <s v="2K 1% 1/16W 0402"/>
    <s v="RES Thick Film 2K 1% 1/16W 0402 SMD"/>
    <s v="R641, R912, R913, R997, R998"/>
    <s v="R0402"/>
    <n v="5"/>
    <s v="KAMAYA"/>
    <n v="25"/>
    <n v="100"/>
    <x v="0"/>
    <m/>
    <s v="KS ICT 已收到样品"/>
  </r>
  <r>
    <n v="175"/>
    <s v="13000-S002430H-00"/>
    <s v="AT0402BRD0749R9L"/>
    <s v="49R9 1/16W 0.1% 0402"/>
    <s v="RES Thin Film 49R9 1/16W 0.1% 0402 AEC-Q200 SMD"/>
    <s v="R700, R707, R712, R721"/>
    <s v="R0402"/>
    <n v="4"/>
    <s v="YAGEO"/>
    <n v="20"/>
    <m/>
    <x v="2"/>
    <m/>
    <s v="WIC001共用料, 待确认挪用数量"/>
  </r>
  <r>
    <n v="176"/>
    <s v="13000-S270003H-00"/>
    <s v="RQ73C2B16R5BTD"/>
    <s v="16.5Ohm 2/5W 0.1% 1206"/>
    <s v="RES Thin Film 16.5Ohm 2/5W 0.1% 1206 AEC-Q200 SMD"/>
    <s v="R701, R702, R703, R704, R705, R706, R715, R716, R717, R718, R719, R720"/>
    <s v="R1206"/>
    <n v="12"/>
    <s v="TE"/>
    <n v="60"/>
    <m/>
    <x v="2"/>
    <m/>
    <s v="WIC001共用料,待确认挪用数量"/>
  </r>
  <r>
    <n v="177"/>
    <m/>
    <s v="HP02WAF100KTCE"/>
    <s v="1R 1% 1/10W 0402"/>
    <s v="RES Thick Film 1R 1% 1/10W 0402 SMD"/>
    <s v="R708, R733"/>
    <s v="R0402"/>
    <n v="2"/>
    <s v="UNI-ROYAL(厚声) "/>
    <n v="10"/>
    <m/>
    <x v="0"/>
    <m/>
    <s v="有库存料"/>
  </r>
  <r>
    <n v="178"/>
    <s v="13000-S002424H-00"/>
    <s v="AC0402FR-07619KL"/>
    <s v="619K 1/16W 1% 0402"/>
    <s v="RES Thick Film 619K 1/16W 1% 0402 AEC-Q200 SMD"/>
    <s v="R710, R736"/>
    <s v="R0402"/>
    <n v="2"/>
    <s v="YAGEO"/>
    <n v="10"/>
    <n v="100"/>
    <x v="0"/>
    <m/>
    <s v="KS ICT 已收到样品"/>
  </r>
  <r>
    <n v="179"/>
    <s v="13000-S002446H-00"/>
    <s v="AT0402BRD0720RL"/>
    <s v="20R 1/16W 0.1% 0402"/>
    <s v="RES Thin Film 20R 1/16W 0.1% 0402 AEC-Q200 SMD"/>
    <s v="R714, R936, R938, R953, R954, R955, R956"/>
    <s v="R0402"/>
    <n v="7"/>
    <s v="YAGEO"/>
    <n v="35"/>
    <m/>
    <x v="2"/>
    <m/>
    <s v="WIC001共用料, 待确认挪用数量"/>
  </r>
  <r>
    <n v="180"/>
    <s v="13000-S002447H-00"/>
    <s v="AT0402BRD0724KL"/>
    <s v="24K 1/16W 0.1% 0402"/>
    <s v="RES Thin Film 24K 1/16W 0.1% 0402 AEC-Q200 SMD"/>
    <s v="R723"/>
    <s v="R0402"/>
    <n v="1"/>
    <s v="YAGEO"/>
    <n v="5"/>
    <m/>
    <x v="2"/>
    <m/>
    <s v="WIC001共用料, 待确认挪用数量"/>
  </r>
  <r>
    <n v="181"/>
    <m/>
    <s v="AC0402FR-0720RL"/>
    <s v="20R 1% 1/16W 0402"/>
    <s v="RES Thick Film 20R 1% 1/16W 0402 SMD"/>
    <s v="R725"/>
    <s v="R0402"/>
    <n v="1"/>
    <s v="YAGEO"/>
    <n v="5"/>
    <m/>
    <x v="0"/>
    <m/>
    <s v="有库存料"/>
  </r>
  <r>
    <n v="182"/>
    <m/>
    <s v="0603WAF4020T5E"/>
    <s v="400R 1/10W 1% 0603"/>
    <s v="RES Thick Film 402R 1/10W 1% 0603 SMD"/>
    <s v="R727"/>
    <s v="R0603"/>
    <n v="1"/>
    <s v="UNI-ROYAL(厚声)"/>
    <n v="5"/>
    <m/>
    <x v="0"/>
    <m/>
    <s v="已购入"/>
  </r>
  <r>
    <n v="183"/>
    <m/>
    <s v="RC0402FR-074K3L"/>
    <s v="4.3K 1% 1/16W 0402"/>
    <s v="RES Thick Film 4.3K 1% 1/16W 0402 SMD"/>
    <s v="R728"/>
    <s v="R0402"/>
    <n v="1"/>
    <s v="YAGEO"/>
    <n v="5"/>
    <m/>
    <x v="0"/>
    <m/>
    <s v="有库存料"/>
  </r>
  <r>
    <n v="184"/>
    <s v="13000-S002439H-00"/>
    <s v="AT0402BRD071KL"/>
    <s v="1K 1/16W 0.1% 0402"/>
    <s v="RES Thin Film 1K 1/16W 0.1% 0402 AEC-Q200 SMD"/>
    <s v="R729"/>
    <s v="R0402"/>
    <n v="1"/>
    <s v="YAGEO"/>
    <n v="5"/>
    <m/>
    <x v="0"/>
    <m/>
    <s v="KS ICT 已收到样品"/>
  </r>
  <r>
    <n v="185"/>
    <s v="13000-S170102H-00"/>
    <s v="RMC1/16SK560FTH "/>
    <s v="56R 1% 1/10W 0402"/>
    <s v="RES Thick Film 56R 1% 1/10W 0402 SMD"/>
    <s v="R730"/>
    <s v="R0402"/>
    <n v="1"/>
    <s v="KAMAYA"/>
    <n v="5"/>
    <n v="200"/>
    <x v="0"/>
    <m/>
    <s v="KS ICT 已收到样品"/>
  </r>
  <r>
    <n v="186"/>
    <s v="13000-S002448H-00"/>
    <s v="AT0402BRD074K75L"/>
    <s v="4.75K 1/16W 0.1% 0402"/>
    <s v="RES Thin Film 4.75K 1/16W 0.1% 0402 AEC-Q200 SMD"/>
    <s v="R731"/>
    <s v="R0402"/>
    <n v="1"/>
    <s v="YAGEO"/>
    <n v="5"/>
    <n v="100"/>
    <x v="0"/>
    <m/>
    <s v="KS ICT 已收到样品"/>
  </r>
  <r>
    <n v="187"/>
    <s v="13000-S170040H-00"/>
    <s v="RMC1/16SK472FTH"/>
    <s v="4.7K 1% 1/16W 0402"/>
    <s v="RES Thick Film 4.7K 1% 1/16W 0402 SMD"/>
    <s v="R738，R873, R1009"/>
    <s v="R0402"/>
    <n v="3"/>
    <s v="KAMAYA"/>
    <n v="15"/>
    <n v="100"/>
    <x v="0"/>
    <m/>
    <s v="KS ICT 已收到样品"/>
  </r>
  <r>
    <n v="188"/>
    <s v="13000-S170033H-00"/>
    <s v="RMC1/16SK473FTH"/>
    <s v="47K 1/10W 1% 0402"/>
    <s v="RES Thick Film 47K 1/10W 1% 0402 SMD"/>
    <s v="R740, R875"/>
    <s v="R0402"/>
    <n v="2"/>
    <s v="KAMAYA"/>
    <n v="10"/>
    <n v="200"/>
    <x v="0"/>
    <m/>
    <s v="KS ICT 已收到样品"/>
  </r>
  <r>
    <n v="189"/>
    <s v="13000-S002419H-00"/>
    <s v="AC0402FR-073K57L"/>
    <s v="3.57K 1/16W 1% 0402"/>
    <s v="RES Thick Film 3.57K 1/16W 1% 0402 AEC-Q200 SMD"/>
    <s v="R748"/>
    <s v="R0402"/>
    <n v="1"/>
    <s v="YAGEO"/>
    <n v="5"/>
    <m/>
    <x v="2"/>
    <m/>
    <s v="WIC001共用料, 待确认挪用数量"/>
  </r>
  <r>
    <n v="190"/>
    <s v="13000-S002457H-00"/>
    <s v="AC0402FR-071K82L"/>
    <s v="1.82K 1/16W 1% 0402"/>
    <s v="RES Thick Film 1.82K 1/16W 1% 0402 AEC-Q200 SMD"/>
    <s v="R754, R768, R782, R788"/>
    <s v="R0402"/>
    <n v="4"/>
    <s v="YAGEO(国巨) "/>
    <n v="20"/>
    <n v="100"/>
    <x v="0"/>
    <m/>
    <s v="KS ICT 已收到样品"/>
  </r>
  <r>
    <n v="191"/>
    <s v="13000-S002438H-00"/>
    <s v="AC0402FR-0711KL"/>
    <s v="11K 1/16W 1% 0402"/>
    <s v="RES Thick Film 11K 1/16W 1% 0402 AEC-Q200 SMD"/>
    <s v="R755, R767,R994"/>
    <s v="R0402"/>
    <n v="3"/>
    <s v="YAGEO"/>
    <n v="15"/>
    <n v="200"/>
    <x v="0"/>
    <m/>
    <s v="KS ICT 已收到样品"/>
  </r>
  <r>
    <n v="192"/>
    <s v="13000-S002455H-00"/>
    <s v="AC0402FR-07200KL"/>
    <s v="200K 1/16W 1% 0402"/>
    <s v="RES Thick Film 200K 1/16W 1% 0402 AEC-Q200 SMD"/>
    <s v="R757, R758, R770, R774, R780, R793"/>
    <s v="R0402"/>
    <n v="6"/>
    <s v="YAGEO"/>
    <n v="30"/>
    <n v="100"/>
    <x v="0"/>
    <m/>
    <s v="KS ICT 已收到样品"/>
  </r>
  <r>
    <n v="193"/>
    <s v="13000-S002456H-00"/>
    <s v="AC0603FR-074K3L"/>
    <s v="4.3K 1/10W 1% 0603"/>
    <s v="RES Thick Film 4.3K 1/10W 1% 0603 AEC-Q200 SMD"/>
    <s v="R766, R781"/>
    <s v="R0603"/>
    <n v="2"/>
    <s v="YAGEO"/>
    <n v="10"/>
    <n v="100"/>
    <x v="0"/>
    <m/>
    <s v="KS ICT 已收到样品"/>
  </r>
  <r>
    <n v="194"/>
    <s v="13000-S002417H-00"/>
    <s v="AC0402FR-0724KL"/>
    <s v="24K 1/16W 1% 0402"/>
    <s v="RES Thick Film 24K 1/16W 1% 0402 AEC-Q200 SMD"/>
    <s v="R772"/>
    <s v="R0402"/>
    <n v="1"/>
    <s v="YAGEO"/>
    <n v="5"/>
    <m/>
    <x v="2"/>
    <m/>
    <s v="WIC001共用料, 待确认挪用数量"/>
  </r>
  <r>
    <n v="195"/>
    <s v="13000-S002458H-00"/>
    <s v="AC1210FR-0760R4L"/>
    <s v="60R4 1/2W 1% 1210"/>
    <s v="RES Thick Film 60.4 1/2W 1% 1210 AEC-Q200 SMD"/>
    <s v="R779"/>
    <s v="R1210"/>
    <n v="1"/>
    <s v="YAGEO"/>
    <n v="5"/>
    <m/>
    <x v="2"/>
    <m/>
    <s v="WIC001共用料, 待确认挪用数量"/>
  </r>
  <r>
    <n v="196"/>
    <s v="13000-S002459H-00"/>
    <s v="AC0402FR-076K8L"/>
    <s v="6.8K 1/16W 1% 0402"/>
    <s v="RES Thick Film 6.8K 1/16W 1% 0402 AEC-Q200 SMD"/>
    <s v="R783, R787"/>
    <s v="R0402"/>
    <n v="2"/>
    <s v="YAGEO"/>
    <n v="10"/>
    <m/>
    <x v="2"/>
    <m/>
    <s v="WIC001共用料, 待确认挪用数量"/>
  </r>
  <r>
    <n v="197"/>
    <s v="13000-S031538H-00"/>
    <s v="RMS06FT3001"/>
    <s v="3K 1/10W 1% 0603"/>
    <s v="RES Thick Film 3K 1/10W 1% 0603 AEC-Q200 SMD"/>
    <s v="R786"/>
    <s v="R0603"/>
    <n v="1"/>
    <s v="TA-I"/>
    <n v="5"/>
    <n v="100"/>
    <x v="0"/>
    <m/>
    <s v="KS ICT 已收到样品"/>
  </r>
  <r>
    <n v="198"/>
    <m/>
    <s v="AC0603FR-0712RL"/>
    <s v="12R 1/10W 1% 0603"/>
    <s v="RES Thick Film 12R 1/10W 1% 0603 SMD"/>
    <s v="R802, R809, R822, R826"/>
    <s v="R0603"/>
    <n v="4"/>
    <s v="YAGEO"/>
    <n v="20"/>
    <n v="100"/>
    <x v="0"/>
    <m/>
    <s v="KS ICT 已收到样品"/>
  </r>
  <r>
    <n v="199"/>
    <s v="13000-S031540H-00"/>
    <s v="RMS10FT1501"/>
    <s v="1.5K 1/8W 1% 0805"/>
    <s v="RES Thick Film 1.5K 1/8W 1% 0805 SMD"/>
    <s v="R805, R824"/>
    <s v="R0805"/>
    <n v="2"/>
    <s v="TA-I"/>
    <n v="10"/>
    <n v="100"/>
    <x v="0"/>
    <m/>
    <s v="KS ICT 已收到样品"/>
  </r>
  <r>
    <n v="200"/>
    <s v="13000-S031541H-00"/>
    <s v="RMS10FT3301"/>
    <s v="3.3K 1/8W 1% 0805"/>
    <s v="RES Thick Film 3.3K 1/8W 1% 0805 SMD"/>
    <s v="R806, R815, R825, R831"/>
    <s v="R0805"/>
    <n v="4"/>
    <s v="TA-I"/>
    <n v="20"/>
    <m/>
    <x v="2"/>
    <m/>
    <s v="WIC001共用料, 待确认挪用数量"/>
  </r>
  <r>
    <n v="201"/>
    <s v="13000-S031286H-00"/>
    <s v="RMS06FT1001"/>
    <s v="1K 1/10W 1% 0603"/>
    <s v="RES Thick Film 1K 1/10W 1% 0603 SMD"/>
    <s v="R808, R811, R837, R979"/>
    <s v="R0603"/>
    <n v="4"/>
    <s v="TA-I"/>
    <n v="20"/>
    <m/>
    <x v="2"/>
    <m/>
    <s v="WIC001共用料, 待确认挪用数量"/>
  </r>
  <r>
    <n v="202"/>
    <s v="13000-S031530H-00"/>
    <s v="RMS12FT2201"/>
    <s v="2.2K 1/4W 1% 1206"/>
    <s v="RES Thick Film 2.2K 1/4W 1% 1206 SMD"/>
    <s v="R810, R828"/>
    <s v="R1206"/>
    <n v="2"/>
    <s v="TA-I"/>
    <n v="10"/>
    <n v="100"/>
    <x v="0"/>
    <m/>
    <s v="KS ICT 已收到样品"/>
  </r>
  <r>
    <n v="203"/>
    <s v="13000-S170048H-00"/>
    <s v="RMC1/16SK104FTH"/>
    <s v="100K 1% 1/16W 0402"/>
    <s v="RES Thick Film 100K 1% 1/16W 0402 SMD"/>
    <s v="R812, R813, R918, R930，R845, R850, R852, R854, R898, R984, R988, R990, R993, R995, R996, R1000"/>
    <s v="R0402"/>
    <n v="16"/>
    <s v="KAMAYA"/>
    <n v="80"/>
    <n v="200"/>
    <x v="0"/>
    <m/>
    <s v="KS ICT 已收到样品"/>
  </r>
  <r>
    <n v="204"/>
    <m/>
    <s v="RL1206FR-070R1L"/>
    <s v="0.1R 1% 1/4W 1206"/>
    <s v="CSR 0.1R 1% 1/4W 1206 SMD"/>
    <s v="R832, R1007"/>
    <s v="R1206"/>
    <n v="2"/>
    <s v="YAGEO"/>
    <n v="10"/>
    <m/>
    <x v="0"/>
    <m/>
    <s v="已购入"/>
  </r>
  <r>
    <n v="205"/>
    <m/>
    <s v="RC0805FR-072K74L"/>
    <s v="2.74K 1% 1/8W 0805"/>
    <s v="RES Thick Film 2.74K 1% 1/8W 0805 SMD"/>
    <s v="R835"/>
    <s v="R0805"/>
    <n v="1"/>
    <s v="YAGEO"/>
    <n v="5"/>
    <m/>
    <x v="0"/>
    <m/>
    <s v="有库存料"/>
  </r>
  <r>
    <n v="206"/>
    <m/>
    <s v="RC0805FR-071K3L"/>
    <s v="1.3K 1% 1/8W 0805"/>
    <s v="RES Thick Film 1.3K 1% 1/8W 0805 SMD"/>
    <s v="R836"/>
    <s v="R0805"/>
    <n v="1"/>
    <s v="YAGEO"/>
    <n v="5"/>
    <m/>
    <x v="0"/>
    <m/>
    <s v="有库存料"/>
  </r>
  <r>
    <n v="207"/>
    <m/>
    <s v="RC0402FR-0733KL"/>
    <s v="33K 1% 1/16W 0402"/>
    <s v="RES Thick Film 33K 1% 1/16W 0402 SMD"/>
    <s v="R839, R879"/>
    <s v="R0402"/>
    <n v="2"/>
    <s v="YAGEO"/>
    <n v="10"/>
    <m/>
    <x v="0"/>
    <m/>
    <s v="有库存料"/>
  </r>
  <r>
    <n v="208"/>
    <s v="13000-S03186HH-00"/>
    <s v="RMS06FT1000"/>
    <s v="100R 1% 1/10W 0603"/>
    <s v="RES Thick Film 100R 1% 1/10W 0603 AEC-Q200 SMD"/>
    <s v="R841, R877"/>
    <s v="R0603"/>
    <n v="2"/>
    <s v="TA-I"/>
    <n v="10"/>
    <n v="200"/>
    <x v="0"/>
    <m/>
    <s v="KS ICT 已收到样品"/>
  </r>
  <r>
    <n v="209"/>
    <m/>
    <s v="0805W8F4700T5E"/>
    <s v="470R 1% 1/8W 0805"/>
    <s v="RES Thick Film 470R 1% 1/8W 0805 SMD"/>
    <s v="R843"/>
    <s v="R0805"/>
    <n v="1"/>
    <s v="UNI-ROYAL(厚声)"/>
    <n v="5"/>
    <m/>
    <x v="0"/>
    <m/>
    <s v="有库存料"/>
  </r>
  <r>
    <n v="210"/>
    <m/>
    <s v="RC0402FR-0730KL"/>
    <s v="30K 1% 1/16W 0402"/>
    <s v="RES Thick Film 30K 1% 1/16W 0402 SMD"/>
    <s v="R847"/>
    <s v="R0402"/>
    <n v="1"/>
    <s v="YAGEO"/>
    <n v="5"/>
    <m/>
    <x v="0"/>
    <m/>
    <s v="有库存料"/>
  </r>
  <r>
    <n v="211"/>
    <m/>
    <s v="RC0402FR-0760K4L"/>
    <s v="60.4K 1% 1/16W 0402"/>
    <s v="RES Thick Film 60.4K 1% 1/16W 0402 SMD"/>
    <s v="R853"/>
    <s v="R0402"/>
    <n v="1"/>
    <s v="YAGEO"/>
    <n v="5"/>
    <m/>
    <x v="0"/>
    <m/>
    <s v="有库存料"/>
  </r>
  <r>
    <n v="212"/>
    <m/>
    <s v="AC0402FR-0727K4L"/>
    <s v="27.4K 1% 1/16W 0402"/>
    <s v="RES Thick Film 27.4K 1% 1/16W 0402 SMD"/>
    <s v="R855, R856, R857, R862, R863"/>
    <s v="R0402"/>
    <n v="5"/>
    <s v="YAGEO"/>
    <n v="25"/>
    <m/>
    <x v="0"/>
    <m/>
    <s v="有库存料"/>
  </r>
  <r>
    <n v="213"/>
    <m/>
    <s v="RC0402FR-07300KL"/>
    <s v="300K 1% 1/16W 0402"/>
    <s v="RES Thick Film 300K 1% 1/16W 0402 SMD"/>
    <s v="R858"/>
    <s v="R0402"/>
    <n v="1"/>
    <s v="YAGEO"/>
    <n v="5"/>
    <m/>
    <x v="0"/>
    <m/>
    <s v="有库存料"/>
  </r>
  <r>
    <n v="214"/>
    <m/>
    <s v="RC0402FR-073KL"/>
    <s v="3K 1% 1/16W 0402"/>
    <s v="RES Thick Film 3K 1% 1/16W 0402 SMD"/>
    <s v="R859, R860, R861"/>
    <s v="R0402"/>
    <n v="3"/>
    <s v="YAGEO"/>
    <n v="15"/>
    <m/>
    <x v="0"/>
    <m/>
    <s v="有库存料"/>
  </r>
  <r>
    <n v="215"/>
    <m/>
    <s v="RC0402FR-07499KL"/>
    <s v="499K 1% 1/16W 0402"/>
    <s v="RES Thick Film 499K 1% 1/16W 0402 SMD"/>
    <s v="R866"/>
    <s v="R0402"/>
    <n v="1"/>
    <s v="YAGEO"/>
    <n v="5"/>
    <m/>
    <x v="0"/>
    <m/>
    <s v="有库存料"/>
  </r>
  <r>
    <n v="216"/>
    <m/>
    <s v="RC0402FR-0790K9L"/>
    <s v="90.9K 1% 1/16W 0402"/>
    <s v="RES Thick Film 90.9K 1% 1/16W 0402 SMD"/>
    <s v="R870"/>
    <s v="R0402"/>
    <n v="1"/>
    <s v="YAGEO"/>
    <n v="5"/>
    <m/>
    <x v="0"/>
    <m/>
    <s v="有库存料"/>
  </r>
  <r>
    <n v="217"/>
    <m/>
    <s v="AC0603FR-073K3L"/>
    <s v="3.3K 1% 1/10W 0603"/>
    <s v="RES Thick Film 3.3K 1% 1/10W 0603 SMD"/>
    <s v="R876"/>
    <s v="R0603"/>
    <n v="1"/>
    <s v="YAGEO"/>
    <n v="5"/>
    <m/>
    <x v="0"/>
    <m/>
    <s v="有库存料"/>
  </r>
  <r>
    <n v="218"/>
    <m/>
    <s v="RC0402FR-074K99L"/>
    <s v="4.99K 1% 1/16W 0402"/>
    <s v="RES Thick Film 4.99K 1% 1/16W 0402 SMD"/>
    <s v="R878"/>
    <s v="R0402"/>
    <n v="1"/>
    <s v="YAGEO"/>
    <n v="5"/>
    <m/>
    <x v="0"/>
    <m/>
    <s v="有库存料"/>
  </r>
  <r>
    <n v="219"/>
    <m/>
    <s v="RC0402FR-071K3L"/>
    <s v="1.3K 1% 1/16W 0402"/>
    <s v="RES Thick Film 1.3K 1% 1/16W 0402 SMD"/>
    <s v="R881, R882"/>
    <s v="R0402"/>
    <n v="2"/>
    <s v="YAGEO"/>
    <n v="10"/>
    <m/>
    <x v="0"/>
    <m/>
    <s v="有库存料"/>
  </r>
  <r>
    <n v="220"/>
    <s v="13200-S000111H-00"/>
    <s v="BLM18AG102SH1D"/>
    <s v="BLM18AG102SH1D"/>
    <s v="Ferrite bead 1KΩ@100MHz 25% 450mA 500mohm 0603 SMD"/>
    <s v="R884, R885, R886, R887, R888, R889, R890, R891, R892, R893, R894, R895, R896, R1010, R1011, R1012, R1013, R1014"/>
    <s v="R0603"/>
    <n v="18"/>
    <s v="muRata(村田)"/>
    <n v="90"/>
    <m/>
    <x v="0"/>
    <s v="TBD"/>
    <s v="有库存料"/>
  </r>
  <r>
    <n v="221"/>
    <s v="13000-S031538H-00"/>
    <s v="RMS06FT3001"/>
    <s v="3K 1% 1/10W 0603"/>
    <s v="RES Thick Film 3K 1% 1/10W 0603 SMD"/>
    <s v="R654,R904, R982, R1001, R1002, R1003"/>
    <s v="R0603"/>
    <n v="6"/>
    <s v="TA-I"/>
    <n v="30"/>
    <m/>
    <x v="0"/>
    <m/>
    <s v="WIC001共用料, 待确认挪用数量"/>
  </r>
  <r>
    <n v="222"/>
    <s v="13000-S031526H-00"/>
    <s v="RMS06FT2001"/>
    <s v="2K 1/10W 1% 0603"/>
    <s v="RES Thick Film 2K 1/10W 1% 0603 SMD"/>
    <s v="R914"/>
    <s v="R0603"/>
    <n v="1"/>
    <s v="TA-I"/>
    <n v="5"/>
    <n v="100"/>
    <x v="0"/>
    <m/>
    <s v="KS ICT 已收到样品"/>
  </r>
  <r>
    <n v="223"/>
    <s v="13000-S002421H-00"/>
    <s v="AC0402FR-0749K9L"/>
    <s v="49.9K 1/10W 1% 0402"/>
    <s v="RES Thick Film 49.9K 1/10W 1% 0402 SMD"/>
    <s v="R916, R917, R929, R931, R934, R945, R946, R947, R948, R949, R950, R951, R952，R989"/>
    <s v="R0402"/>
    <n v="14"/>
    <s v="YAGEO"/>
    <n v="70"/>
    <n v="200"/>
    <x v="0"/>
    <m/>
    <s v="已备料200pcs"/>
  </r>
  <r>
    <n v="224"/>
    <s v="13000-S170022H-00"/>
    <s v="RMC1/16JPTP"/>
    <s v="0R 1/10W 5% 0603"/>
    <s v="RES Thick Film 0R 1/10W 5% 0603 SMD"/>
    <s v="R926, R927, R940, R941, R944"/>
    <s v="R0603"/>
    <n v="5"/>
    <s v="KAMAYA"/>
    <n v="25"/>
    <n v="100"/>
    <x v="0"/>
    <m/>
    <s v="KS ICT 已收到样品"/>
  </r>
  <r>
    <n v="225"/>
    <s v="13000-S170051H-00"/>
    <s v="RMC1/10K100FTP"/>
    <s v="10R 1% 1/8W 0805"/>
    <s v="RES Thick Film 10R 1% 1/8W 0805 SMD"/>
    <s v="R963, R967"/>
    <s v="R0805"/>
    <n v="2"/>
    <s v="KAMAYA"/>
    <n v="10"/>
    <n v="200"/>
    <x v="0"/>
    <m/>
    <s v="KS ICT 已收到样品"/>
  </r>
  <r>
    <n v="226"/>
    <m/>
    <s v="AC1206FR-070RL"/>
    <s v="0R 1% 1/4W 1206"/>
    <s v="RES Thick Film 0R 1% 1/4W 1206 SMD"/>
    <s v="R964, R969"/>
    <s v="R1206"/>
    <n v="2"/>
    <s v="YAGEO"/>
    <n v="10"/>
    <m/>
    <x v="0"/>
    <m/>
    <s v="有库存料"/>
  </r>
  <r>
    <n v="227"/>
    <s v="13000-S040558H-00"/>
    <s v="1206W4F1003T5E"/>
    <s v="100K 1% 1/4W 1206"/>
    <s v="RES Thick Film 100K 1% 1/4W 1206 SMD"/>
    <s v="R965, R968"/>
    <s v="R1206"/>
    <n v="2"/>
    <s v="UNI-ROYAL(厚声）"/>
    <n v="10"/>
    <n v="200"/>
    <x v="0"/>
    <m/>
    <s v="KS ICT 已收到样品"/>
  </r>
  <r>
    <n v="228"/>
    <m/>
    <s v="RC0603FR-07240RL"/>
    <s v="240R 1% 1/10W 0603"/>
    <s v="RES Thick Film 240R 1% 1/10W 0603 SMD"/>
    <s v="R966, R973"/>
    <s v="R0603"/>
    <n v="2"/>
    <s v="YAGEO"/>
    <n v="10"/>
    <m/>
    <x v="0"/>
    <m/>
    <s v="有库存料"/>
  </r>
  <r>
    <n v="229"/>
    <m/>
    <s v="AC0805FR-072K21L"/>
    <s v="2.21K 1% 1/8W 0805"/>
    <s v="RES Thick Film 2.21K 1% 1/8W 0805 SMD"/>
    <s v="R970, R978"/>
    <s v="R0805"/>
    <n v="2"/>
    <s v="YAGEO"/>
    <n v="10"/>
    <m/>
    <x v="0"/>
    <m/>
    <s v="有库存料"/>
  </r>
  <r>
    <n v="230"/>
    <m/>
    <s v="RC0805FR-07200KL"/>
    <s v="200K 1% 1/8W 0805"/>
    <s v="RES Thick Film 200K 1% 1/8W 0805 SMD"/>
    <s v="R972"/>
    <s v="R0805"/>
    <n v="1"/>
    <s v="YAGEO"/>
    <n v="5"/>
    <m/>
    <x v="0"/>
    <m/>
    <s v="有库存料"/>
  </r>
  <r>
    <n v="231"/>
    <s v="13000-S170071H-00"/>
    <s v="RMC1/16K510FTP"/>
    <s v="51R 1% 1/10W 0603"/>
    <s v="RES Thick Film 51R 1% 1/10W 0603 SMD"/>
    <s v="R974, R977"/>
    <s v="R0603"/>
    <n v="2"/>
    <s v="KAMAYA"/>
    <n v="10"/>
    <n v="100"/>
    <x v="0"/>
    <m/>
    <s v="KS ICT 已收到样品"/>
  </r>
  <r>
    <n v="232"/>
    <s v="13000-S170074H-00"/>
    <s v="RMC1/16K104FTP"/>
    <s v="100K 1% 1/10W 0603"/>
    <s v="RES Thick Film 100K 1% 1/10W 0603 SMD"/>
    <s v="R975"/>
    <s v="R0603"/>
    <n v="1"/>
    <s v="KAMAYA"/>
    <n v="5"/>
    <n v="200"/>
    <x v="0"/>
    <m/>
    <s v="KS ICT 已收到样品"/>
  </r>
  <r>
    <n v="233"/>
    <m/>
    <s v="RC0805FR-0715KL"/>
    <s v="15K 1% 1/8W 0805"/>
    <s v="RES Thick Film 15K 1% 1/8W 0805 SMD"/>
    <s v="R976"/>
    <s v="R0805"/>
    <n v="1"/>
    <s v="YAGEO"/>
    <n v="5"/>
    <m/>
    <x v="0"/>
    <m/>
    <s v="有库存料"/>
  </r>
  <r>
    <n v="234"/>
    <m/>
    <s v="RL1206JR-070R3L"/>
    <s v="0.3R 5% 1/4W 1206"/>
    <s v="CSR 0.3R 5% 1/4W 1206 SMD"/>
    <s v="R980, R981"/>
    <s v="R1206"/>
    <n v="2"/>
    <s v="YAGEO"/>
    <n v="10"/>
    <m/>
    <x v="0"/>
    <m/>
    <s v="有库存料"/>
  </r>
  <r>
    <n v="235"/>
    <m/>
    <s v="AC0402FR-07110KL"/>
    <s v="110K 1% 1/16W 0402"/>
    <s v="RESISTOR"/>
    <s v="R983, R987"/>
    <s v="R0402"/>
    <n v="2"/>
    <s v="YAGEO"/>
    <n v="10"/>
    <m/>
    <x v="0"/>
    <m/>
    <s v="有库存料"/>
  </r>
  <r>
    <n v="236"/>
    <m/>
    <s v="0402WGF3012TCE"/>
    <s v="30.1K 1% 1/16W 0402"/>
    <s v="RES Thick Film 30.1K 1% 1/16W 0402 SMD"/>
    <s v="R985, R991, R1008"/>
    <s v="R0402"/>
    <n v="3"/>
    <s v="UNI-ROYAL(厚声)"/>
    <n v="15"/>
    <m/>
    <x v="0"/>
    <m/>
    <s v="有库存料"/>
  </r>
  <r>
    <n v="237"/>
    <m/>
    <s v="AC0402FR-0734K8L"/>
    <s v="34.8K 1% 1/16W 0402"/>
    <s v="RES Thick Film 34.8K 1% 1/16W 0402 SMD"/>
    <s v="R986, R992"/>
    <s v="R0402"/>
    <n v="2"/>
    <s v="YAGEO"/>
    <n v="10"/>
    <m/>
    <x v="0"/>
    <m/>
    <s v="有库存料"/>
  </r>
  <r>
    <n v="238"/>
    <m/>
    <s v="0402WGF332JTCE"/>
    <s v="33.2R"/>
    <m/>
    <s v="R1016, R1017, R1018"/>
    <s v="R0402"/>
    <n v="3"/>
    <s v="UNI-ROYAL(厚声)"/>
    <n v="15"/>
    <m/>
    <x v="0"/>
    <m/>
    <s v="已购入"/>
  </r>
  <r>
    <n v="239"/>
    <m/>
    <s v="1206W4F0000T5E"/>
    <s v="0R"/>
    <m/>
    <s v="R1020"/>
    <s v="R1206"/>
    <n v="1"/>
    <s v="UNI-ROYAL(厚声)"/>
    <n v="5"/>
    <m/>
    <x v="1"/>
    <m/>
    <s v="有库存料"/>
  </r>
  <r>
    <n v="240"/>
    <m/>
    <s v="NCU18XH103F6SRB"/>
    <s v="NTC 10K"/>
    <s v="NTC,10k 1% 3434K@(25/85℃) -40℃ to 150℃ 0603 RoHS AEC-Q200 SMD"/>
    <s v="RT300, TH600"/>
    <s v="RT0603"/>
    <n v="2"/>
    <s v="Murata"/>
    <n v="10"/>
    <m/>
    <x v="2"/>
    <m/>
    <s v="WIC001共用料, 待确认挪用数量"/>
  </r>
  <r>
    <n v="241"/>
    <m/>
    <s v="定制料"/>
    <s v="LLC主变压器"/>
    <s v="LLC主变压器"/>
    <s v="T400"/>
    <s v="PQ5050+PQ5019 立式"/>
    <n v="1"/>
    <m/>
    <n v="5"/>
    <m/>
    <x v="2"/>
    <m/>
    <s v="南京备料，待确认交期"/>
  </r>
  <r>
    <n v="242"/>
    <m/>
    <s v="定制料"/>
    <s v="Transformer, Current Sense"/>
    <s v="Transformer, Current Sense"/>
    <s v="T500"/>
    <s v="CS_15_7_13"/>
    <n v="1"/>
    <m/>
    <n v="5"/>
    <m/>
    <x v="2"/>
    <m/>
    <s v="南京备料，待确认交期"/>
  </r>
  <r>
    <n v="243"/>
    <m/>
    <s v="定制料"/>
    <s v="辅源变压器"/>
    <s v="辅源变压器"/>
    <s v="T900"/>
    <s v="BOBBIN_10P_EI_25"/>
    <n v="1"/>
    <m/>
    <n v="5"/>
    <m/>
    <x v="2"/>
    <m/>
    <s v="南京备料，待确认交期"/>
  </r>
  <r>
    <n v="244"/>
    <m/>
    <s v="NSM2011-65B5R-DSWR"/>
    <s v="NSM2011-65B5R-DSWR"/>
    <s v="IC, High-Accuracy, Hall-Effect-Based Current Sensor IC, Common-Mode Field Rejection in 5kV High-Isolation WB SOIC16 "/>
    <s v="U200"/>
    <s v="SOIC_W_16"/>
    <n v="1"/>
    <s v="NOVOSENSE"/>
    <n v="5"/>
    <m/>
    <x v="2"/>
    <s v="TBD"/>
    <s v="待购入"/>
  </r>
  <r>
    <n v="245"/>
    <m/>
    <s v="RS821XF"/>
    <s v="RS821XF"/>
    <s v="14MHz, Rail-to-Rail I/O CMOS Operational Amplifier SOT23-5"/>
    <s v="U201"/>
    <s v="SOT23-5"/>
    <n v="1"/>
    <s v="RUNIC(润石) "/>
    <n v="5"/>
    <m/>
    <x v="0"/>
    <s v="TBD"/>
    <s v="有库存料"/>
  </r>
  <r>
    <n v="246"/>
    <m/>
    <s v="UCC27525DR"/>
    <s v="UCC27525DR"/>
    <s v="IC GATE DRVR LOW-SIDE 8SOIC"/>
    <s v="U202"/>
    <s v="SOIC_8"/>
    <n v="1"/>
    <s v="TI"/>
    <n v="5"/>
    <m/>
    <x v="0"/>
    <m/>
    <s v="有库存料"/>
  </r>
  <r>
    <n v="247"/>
    <m/>
    <s v="π162M60"/>
    <s v="π162M60"/>
    <s v="IC, Digital Isolators, WB SOIC-16"/>
    <s v="U300, U713"/>
    <s v="SOIC_W_16"/>
    <n v="2"/>
    <s v="荣湃"/>
    <n v="10"/>
    <m/>
    <x v="2"/>
    <m/>
    <s v="待购入"/>
  </r>
  <r>
    <n v="248"/>
    <m/>
    <s v="dsPIC33CK256MP506"/>
    <s v="dsPIC33CK256MP506"/>
    <s v="IC, 256KB Flash, 16-Bit Digital Signal Controllers with High-Resolution PWM and CAN Flexible Data, TQFP-64"/>
    <s v="U301"/>
    <s v="QFN64+LQFP64"/>
    <n v="1"/>
    <s v="MICROCHIP"/>
    <n v="5"/>
    <m/>
    <x v="2"/>
    <m/>
    <s v="Free sample 7pcs, 预估交期4Weeks，已加急处理，下周一回复具体交期"/>
  </r>
  <r>
    <n v="249"/>
    <m/>
    <s v="TLV9062IDDFR"/>
    <s v="TLV9062IDDFR"/>
    <s v="IC, CMOS Operational Amplifiers,  TSOT23-8"/>
    <s v="U500"/>
    <s v="TSOT-23-8_L2.9-W1.6-P0.65-LS2.8-BL"/>
    <n v="1"/>
    <s v="TI"/>
    <n v="5"/>
    <n v="10"/>
    <x v="0"/>
    <m/>
    <s v="KS ICT 已收到样品"/>
  </r>
  <r>
    <n v="250"/>
    <m/>
    <s v="TMS320F28069PZPQ"/>
    <s v="TMS320F28069PZPQ"/>
    <s v="IC MCU 1.71V ~ 1.995V 32BIT 256KB FLSH AEC-Q101 HTQFP-100"/>
    <s v="U600"/>
    <s v="TQFP_100_14X14X05P_EP"/>
    <n v="1"/>
    <s v="TI"/>
    <n v="5"/>
    <n v="10"/>
    <x v="0"/>
    <m/>
    <s v="KS ICT 已收到样品"/>
  </r>
  <r>
    <n v="251"/>
    <m/>
    <s v="π163M61"/>
    <s v="π163M61"/>
    <s v="IC, Digital Isolators, WB SOIC-16"/>
    <s v="U601"/>
    <s v="SOIC_W_16"/>
    <n v="1"/>
    <s v="荣湃"/>
    <n v="5"/>
    <m/>
    <x v="0"/>
    <m/>
    <s v="有库存料"/>
  </r>
  <r>
    <n v="252"/>
    <m/>
    <s v="TLV3502AQDCNRQ1"/>
    <s v="TLV3502AQDCNRQ1"/>
    <s v="IC COMPARATOR 2.7V~5.5V SOT23-8"/>
    <s v="U700, U705, U702, U706, U707"/>
    <s v="SON-8"/>
    <n v="5"/>
    <s v="Texas Instruments"/>
    <n v="25"/>
    <n v="20"/>
    <x v="0"/>
    <m/>
    <s v="KS ICT 已收到样品"/>
  </r>
  <r>
    <n v="253"/>
    <s v="13681-S090001H-00"/>
    <s v="ADA4891-2WARMZ-R7"/>
    <s v="ADA4891-2WARMZ-R7"/>
    <s v="IC, High Speed, Rail-to-Rail Amplifiers, 2.7V~5.5V, MSOP-8"/>
    <s v="U701, U703"/>
    <s v="SOIC_8"/>
    <n v="2"/>
    <s v="ADI"/>
    <n v="10"/>
    <m/>
    <x v="2"/>
    <s v="TBD"/>
    <s v="采购已下单 10pcs"/>
  </r>
  <r>
    <n v="254"/>
    <m/>
    <s v="TS431BIYLT"/>
    <s v="TS431BIYLT"/>
    <s v="IC VREF SHUNT ADJ 1.24V~6V 30mA SOT23-5"/>
    <s v="U704, U709"/>
    <s v="SOT23-5"/>
    <n v="2"/>
    <s v="STMicroelectronics"/>
    <n v="10"/>
    <m/>
    <x v="2"/>
    <m/>
    <s v="WIC001共用料, 待确认挪用数量"/>
  </r>
  <r>
    <n v="255"/>
    <m/>
    <s v="SN74LVC1G32QDBVRQ1"/>
    <s v="SN74LVC1G32QDBVRQ1/或门"/>
    <m/>
    <s v="U708"/>
    <s v="SOT23-5"/>
    <n v="1"/>
    <s v="TI"/>
    <n v="5"/>
    <m/>
    <x v="0"/>
    <m/>
    <s v="已购入"/>
  </r>
  <r>
    <n v="256"/>
    <m/>
    <s v="SN74LVC1G08QDBVRQ1"/>
    <s v="SN74LVC1G08QDBVRQ1"/>
    <s v="IC, Single, 2-Input Positive-AND Gate, 1.65V~5.5V, AEC-Q100, SOT23-5"/>
    <s v="U710, U711"/>
    <s v="SOT23-5"/>
    <n v="2"/>
    <s v="Texas Instruments"/>
    <n v="10"/>
    <n v="10"/>
    <x v="0"/>
    <m/>
    <s v="KS ICT 已收到样品"/>
  </r>
  <r>
    <n v="257"/>
    <m/>
    <s v="NLV74HC20ADR2G"/>
    <s v="NLV74HC20ADR2G"/>
    <s v="IC NAND GATE 2CH 4-INPUT SOIC-14"/>
    <s v="U712"/>
    <s v="PG_D_SO_14"/>
    <n v="1"/>
    <s v="onsemi"/>
    <n v="5"/>
    <m/>
    <x v="2"/>
    <m/>
    <s v="WIC001共用料, 待确认挪用数量"/>
  </r>
  <r>
    <n v="258"/>
    <m/>
    <s v="NLV14044BDG"/>
    <s v="NLV14044BDG"/>
    <s v="IC LATCH QUAD R-S 16-SOIC"/>
    <s v="U715"/>
    <s v="SOIC_16_D"/>
    <n v="1"/>
    <s v="onsemi"/>
    <n v="5"/>
    <m/>
    <x v="2"/>
    <m/>
    <s v="WIC001共用料, 待确认挪用数量"/>
  </r>
  <r>
    <n v="259"/>
    <s v="136B4-S090004H-00"/>
    <s v="ADUM5200WCRWZ"/>
    <s v="ADUM5200WCRWZ"/>
    <s v="IC Digital Isolator Integrated DC-DC Dual-Channel 3V-5.5V 23mA SOIC-16"/>
    <s v="U800"/>
    <s v="SOIC-16_L10.3-W7.5-P1.27-LS10.3-BL"/>
    <n v="1"/>
    <s v="ADI"/>
    <n v="5"/>
    <m/>
    <x v="2"/>
    <s v="TBD"/>
    <s v="采购已下单 10pcs"/>
  </r>
  <r>
    <n v="260"/>
    <m/>
    <s v="TJA1145AT/FD"/>
    <s v="TJA1145AT/FD"/>
    <s v="IC TRANSCEIVER FULL 1/1 SO-14 AEC-Q100"/>
    <s v="U801"/>
    <s v="SOT108-1"/>
    <n v="1"/>
    <s v="NXP"/>
    <n v="5"/>
    <m/>
    <x v="2"/>
    <s v="TBD"/>
    <s v="有库存料"/>
  </r>
  <r>
    <n v="261"/>
    <m/>
    <s v="SPC5748GHK0AMKU6"/>
    <s v="SPC5748GHK0AMKU6"/>
    <s v="IC MCU SPC5748G 6MB Flash 3.3V HLQFP-176"/>
    <s v="U803"/>
    <s v="QFP50P2600X2600X160-177N"/>
    <n v="1"/>
    <s v="NXP"/>
    <n v="5"/>
    <n v="5"/>
    <x v="0"/>
    <m/>
    <s v="WIC001共用料"/>
  </r>
  <r>
    <n v="262"/>
    <m/>
    <s v="ABM10AIG-40.000MHZ-2Z-T"/>
    <s v="40MHz"/>
    <s v="Crystal 40MHZ ±20ppm SMD-4P"/>
    <s v="U804"/>
    <s v="YSMD4_2.5MM_2MM"/>
    <n v="1"/>
    <s v="ABRACON"/>
    <n v="5"/>
    <n v="10"/>
    <x v="0"/>
    <m/>
    <s v="已备料  10pcs"/>
  </r>
  <r>
    <n v="263"/>
    <m/>
    <s v="74LVC1G125GW-Q100"/>
    <s v="74LVC1G125GW-Q100"/>
    <s v="IC Bus buffer/line driver, 3-state, TSSOP-5"/>
    <s v="U805"/>
    <s v="TSSOP-5_L2.1-W1.3-P0.65-LS2.2-BL"/>
    <n v="1"/>
    <s v="Nexperia"/>
    <n v="5"/>
    <m/>
    <x v="2"/>
    <m/>
    <s v="WIC001共用料, 待确认挪用数量"/>
  </r>
  <r>
    <n v="264"/>
    <m/>
    <s v="REF5030AQDRQ1"/>
    <s v="REF5030AQDRQ1"/>
    <s v="IC Precision Voltage Reference 3.2V~18V 3.0V ±0.1% Automotive Qualified SOIC-8"/>
    <s v="U806"/>
    <s v="SOIC-8_L4.9-W3.9-P1.27-LS6.0-BL"/>
    <n v="1"/>
    <s v="TI(德州仪器)"/>
    <n v="5"/>
    <n v="10"/>
    <x v="0"/>
    <m/>
    <s v="KS ICT 已收到样品"/>
  </r>
  <r>
    <n v="265"/>
    <m/>
    <s v="LMV331QDBVRQ1(Free sample:LMV331IDBVR)"/>
    <s v="LMV331QDBVRQ1"/>
    <s v="IC COMPARATOR 1 GEN PUR SOT23-5"/>
    <s v="U807"/>
    <s v="SOT-23-5_L3.0-W1.7-P0.95-LS2.8-BR"/>
    <n v="1"/>
    <s v="TI(德州仪器)"/>
    <n v="5"/>
    <n v="50"/>
    <x v="0"/>
    <m/>
    <s v="KS ICT 已收到样品"/>
  </r>
  <r>
    <n v="266"/>
    <m/>
    <s v="TJA1042T/3,118"/>
    <s v="TJA1042T/3"/>
    <s v="IC TRANSCEIVER HALF 1/1 SO-8 AEC-Q100"/>
    <s v="U808, U813"/>
    <s v="SOIC_8"/>
    <n v="2"/>
    <s v="NXP"/>
    <n v="10"/>
    <m/>
    <x v="0"/>
    <s v="TBD"/>
    <s v="有库存料"/>
  </r>
  <r>
    <n v="267"/>
    <m/>
    <s v="MAX3232IPW"/>
    <s v="MAX3232IPW"/>
    <s v="IC TRANSCEIVER FULL 2/2 TSSOP-16"/>
    <s v="U809"/>
    <s v="TSSOP MAX3232EIPW"/>
    <n v="1"/>
    <s v="Texas Instruments"/>
    <n v="5"/>
    <m/>
    <x v="0"/>
    <m/>
    <s v="有库存料"/>
  </r>
  <r>
    <n v="268"/>
    <m/>
    <s v="JODY-W263-01A-00"/>
    <s v="JODY-W263-01A-00"/>
    <s v="IC, Serial-to-WIFI and Bluetooth Module, 2.4GHZ and 5GHZ, 802.11a/b/g/n/ac, Bluetooth 5.0"/>
    <s v="U810"/>
    <s v="UBLOX_JODY-W263"/>
    <n v="1"/>
    <s v="Ublox"/>
    <n v="5"/>
    <n v="3"/>
    <x v="0"/>
    <m/>
    <s v="KS ICT 库存料"/>
  </r>
  <r>
    <n v="269"/>
    <m/>
    <s v="TXB0104QRGYRQ1"/>
    <s v="TXB0104QRGYRQ1"/>
    <s v="IC Voltage-Level Translator 4-Bit 1.2V~3.6V 1.65V~5.5V TI_VQFN-14-EP(3.5x3.5)"/>
    <s v="U811, U812"/>
    <s v="TI_VQFN-14_RGY"/>
    <n v="2"/>
    <s v="TI(德州仪器)"/>
    <n v="10"/>
    <n v="10"/>
    <x v="0"/>
    <m/>
    <s v="KS ICT 已收到样品"/>
  </r>
  <r>
    <n v="270"/>
    <m/>
    <s v="AZ1117H-ADJTRE1"/>
    <s v="AZ1117H-ADJTRE1"/>
    <s v="IC REG LINEAR POS ADJ 1A SOT223"/>
    <s v="U900, U901"/>
    <s v="SOT-223"/>
    <n v="2"/>
    <s v="Diodes"/>
    <n v="10"/>
    <m/>
    <x v="0"/>
    <s v="TBD"/>
    <s v="有库存料"/>
  </r>
  <r>
    <n v="271"/>
    <m/>
    <s v="KP212LGA"/>
    <s v="KP212LGA"/>
    <s v="IC, AC-DC Controller and MOS Driver, SOT23-6L"/>
    <s v="U902"/>
    <s v="SOT-23_6"/>
    <n v="1"/>
    <s v="Kiwi Instruments"/>
    <n v="5"/>
    <m/>
    <x v="0"/>
    <s v="TBD"/>
    <s v="有库存料"/>
  </r>
  <r>
    <n v="272"/>
    <m/>
    <s v="AZ1117R-5.0TRE1"/>
    <s v="AZ1117R-5.0TRE1"/>
    <s v="IC REG LINEAR 5V 1.25A SOT89"/>
    <s v="U903, U905"/>
    <s v="SOT89_MI"/>
    <n v="2"/>
    <s v="Diodes"/>
    <n v="10"/>
    <m/>
    <x v="0"/>
    <m/>
    <s v="有库存料"/>
  </r>
  <r>
    <n v="273"/>
    <m/>
    <s v="JW5026"/>
    <s v="JW5026"/>
    <s v="IC, 40V/1A, 1.1MHz, SYNC Step-Down Converter  SOT-23-6"/>
    <s v="U904, U906"/>
    <s v="SOT-23_6"/>
    <n v="2"/>
    <s v="Joulwatt(杰华特) "/>
    <n v="10"/>
    <m/>
    <x v="2"/>
    <s v="TBD"/>
    <s v="待购入"/>
  </r>
  <r>
    <n v="274"/>
    <m/>
    <s v="JW5357"/>
    <s v="JW5357"/>
    <s v="IC, Sync Step-Down Converter, 18V/3A, SOT23-6"/>
    <s v="U907"/>
    <s v="SOT-23_6"/>
    <n v="1"/>
    <s v="Joulwatt(杰华特) "/>
    <n v="5"/>
    <m/>
    <x v="0"/>
    <s v="TBD"/>
    <s v="已购入"/>
  </r>
  <r>
    <n v="275"/>
    <m/>
    <s v="561KD20-P10"/>
    <s v="561KD20-P10"/>
    <s v="RES, MOV, Vc=925V, 6.5KA, 215J, DIP"/>
    <s v="VAR100"/>
    <s v="471KD20 _10"/>
    <n v="1"/>
    <s v="Brightking(君耀电子) "/>
    <n v="5"/>
    <m/>
    <x v="0"/>
    <m/>
    <s v="有库存料"/>
  </r>
  <r>
    <n v="276"/>
    <m/>
    <s v="LP5912Q1.8DRVRQ1"/>
    <s v="LP5912Q1.8DRVRQ1"/>
    <s v="IC LDO 6.5V 1.8V 500mA AEC-Q100 TI_WSON-6"/>
    <s v="VR800"/>
    <s v="TI_WSON-6_DRV"/>
    <n v="1"/>
    <s v="Texas Instruments"/>
    <n v="5"/>
    <n v="10"/>
    <x v="0"/>
    <m/>
    <s v="KS ICT 已收到样品"/>
  </r>
  <r>
    <n v="277"/>
    <m/>
    <s v="ABM10AIG-20.000MHZ-4Z-T3"/>
    <s v="20MHz"/>
    <s v="Crystal 20MHZ ±30ppm 10pF SMD2520-4P AEC-Q200"/>
    <s v="X600"/>
    <s v="CRYSTAL-SMD_4P-L3.2-W2.5-BL"/>
    <n v="1"/>
    <s v="ABRACON LLC"/>
    <n v="5"/>
    <n v="10"/>
    <x v="0"/>
    <m/>
    <s v="已备料  10pcs"/>
  </r>
  <r>
    <n v="278"/>
    <m/>
    <s v="ABS07AIG-32.768KHZ-9-T"/>
    <s v="32.768kHz"/>
    <s v="Crystal 32.768kHz 20ppm SMD3215-2P "/>
    <s v="Y800"/>
    <s v="CRYSTAL-SMD_L3.2-W1.5-1"/>
    <n v="1"/>
    <s v="ABRACON"/>
    <n v="5"/>
    <n v="10"/>
    <x v="0"/>
    <m/>
    <s v="已备料  10pcs"/>
  </r>
  <r>
    <n v="279"/>
    <m/>
    <s v="BZT52C3V3S"/>
    <s v="BZT52C3V3S"/>
    <s v="ZENER DIODE 3.3V 0.2W SOD-323"/>
    <s v="ZD400, ZD401, ZD402, ZD403, ZD500, ZD501, ZD502, ZD503"/>
    <s v="D_SOD323"/>
    <n v="8"/>
    <s v="YANGJIE(扬杰) "/>
    <n v="40"/>
    <m/>
    <x v="0"/>
    <m/>
    <s v="有库存料"/>
  </r>
  <r>
    <m/>
    <m/>
    <m/>
    <m/>
    <m/>
    <m/>
    <m/>
    <m/>
    <m/>
    <m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8" applyNumberFormats="0" applyBorderFormats="0" applyFontFormats="0" applyPatternFormats="0" applyAlignmentFormats="0" applyWidthHeightFormats="1" dataCaption="值" updatedVersion="6" minRefreshableVersion="3" useAutoFormatting="1" createdVersion="6" indent="0" outline="1" outlineData="1" multipleFieldFilters="0">
  <location ref="A3:F5" firstHeaderRow="1" firstDataRow="2" firstDataCol="1"/>
  <pivotFields count="1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m="1" x="4"/>
        <item x="0"/>
        <item x="2"/>
        <item x="3"/>
        <item x="1"/>
        <item t="default"/>
      </items>
    </pivotField>
    <pivotField showAll="0"/>
    <pivotField showAll="0"/>
  </pivotFields>
  <rowItems count="1">
    <i/>
  </rowItems>
  <colFields count="1">
    <field x="11"/>
  </colFields>
  <colItems count="5">
    <i>
      <x v="1"/>
    </i>
    <i>
      <x v="2"/>
    </i>
    <i>
      <x v="3"/>
    </i>
    <i>
      <x v="4"/>
    </i>
    <i t="grand">
      <x/>
    </i>
  </colItems>
  <dataFields count="1">
    <dataField name="计数项:MP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"/>
  <sheetViews>
    <sheetView zoomScale="111" zoomScaleNormal="111" workbookViewId="0">
      <selection activeCell="J25" sqref="J25"/>
    </sheetView>
  </sheetViews>
  <sheetFormatPr baseColWidth="10" defaultColWidth="11" defaultRowHeight="15"/>
  <cols>
    <col min="1" max="1" width="12.1640625" customWidth="1"/>
    <col min="2" max="2" width="10" customWidth="1"/>
    <col min="3" max="3" width="10.33203125" customWidth="1"/>
    <col min="4" max="4" width="6.5" customWidth="1"/>
    <col min="5" max="5" width="6.83203125" customWidth="1"/>
    <col min="6" max="7" width="5.6640625" customWidth="1"/>
  </cols>
  <sheetData>
    <row r="3" spans="1:6">
      <c r="B3" s="69" t="s">
        <v>0</v>
      </c>
    </row>
    <row r="4" spans="1:6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>
      <c r="A5" t="s">
        <v>6</v>
      </c>
      <c r="B5" s="38">
        <v>210</v>
      </c>
      <c r="C5" s="38">
        <v>53</v>
      </c>
      <c r="D5" s="38">
        <v>11</v>
      </c>
      <c r="E5" s="38">
        <v>3</v>
      </c>
      <c r="F5" s="38">
        <v>277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9"/>
  <sheetViews>
    <sheetView topLeftCell="L1" zoomScale="132" workbookViewId="0">
      <pane ySplit="1" topLeftCell="A198" activePane="bottomLeft" state="frozen"/>
      <selection pane="bottomLeft" activeCell="N82" sqref="N82"/>
    </sheetView>
  </sheetViews>
  <sheetFormatPr baseColWidth="10" defaultColWidth="8.83203125" defaultRowHeight="15"/>
  <cols>
    <col min="1" max="1" width="6.1640625" style="1" customWidth="1"/>
    <col min="2" max="2" width="13.6640625" style="1" customWidth="1"/>
    <col min="3" max="3" width="19.33203125" style="1" customWidth="1"/>
    <col min="4" max="4" width="21.33203125" style="1" customWidth="1"/>
    <col min="5" max="5" width="39.83203125" style="1" customWidth="1"/>
    <col min="6" max="6" width="45.6640625" style="1" customWidth="1"/>
    <col min="7" max="7" width="8.83203125" style="1" customWidth="1"/>
    <col min="8" max="8" width="5.33203125" style="1" customWidth="1"/>
    <col min="9" max="9" width="10.33203125" style="1" customWidth="1"/>
    <col min="10" max="10" width="5.5" style="1" customWidth="1"/>
    <col min="11" max="11" width="7.5" style="1" customWidth="1"/>
    <col min="12" max="12" width="9.5" style="1" bestFit="1" customWidth="1"/>
    <col min="13" max="13" width="5.1640625" style="1" customWidth="1"/>
    <col min="14" max="14" width="47.5" style="1" bestFit="1" customWidth="1"/>
    <col min="15" max="16" width="8.83203125" style="1"/>
    <col min="17" max="17" width="19.6640625" style="73" bestFit="1" customWidth="1"/>
    <col min="18" max="18" width="17.5" style="73" customWidth="1"/>
    <col min="19" max="16384" width="8.83203125" style="1"/>
  </cols>
  <sheetData>
    <row r="1" spans="1:18">
      <c r="A1" s="39" t="s">
        <v>7</v>
      </c>
      <c r="B1" s="39" t="s">
        <v>8</v>
      </c>
      <c r="C1" s="39" t="s">
        <v>9</v>
      </c>
      <c r="D1" s="39" t="s">
        <v>10</v>
      </c>
      <c r="E1" s="39" t="s">
        <v>11</v>
      </c>
      <c r="F1" s="39" t="s">
        <v>12</v>
      </c>
      <c r="G1" s="39" t="s">
        <v>13</v>
      </c>
      <c r="H1" s="39" t="s">
        <v>14</v>
      </c>
      <c r="I1" s="39" t="s">
        <v>15</v>
      </c>
      <c r="J1" s="40" t="s">
        <v>16</v>
      </c>
      <c r="K1" s="40" t="s">
        <v>17</v>
      </c>
      <c r="L1" s="39" t="s">
        <v>18</v>
      </c>
      <c r="M1" s="40" t="s">
        <v>19</v>
      </c>
      <c r="N1" s="40" t="s">
        <v>20</v>
      </c>
      <c r="O1" s="13" t="s">
        <v>21</v>
      </c>
      <c r="P1" s="32"/>
      <c r="Q1" s="50" t="s">
        <v>1232</v>
      </c>
      <c r="R1" s="50" t="s">
        <v>1233</v>
      </c>
    </row>
    <row r="2" spans="1:18">
      <c r="A2" s="22">
        <v>1</v>
      </c>
      <c r="B2" s="23"/>
      <c r="C2" s="43" t="s">
        <v>22</v>
      </c>
      <c r="D2" s="49" t="s">
        <v>23</v>
      </c>
      <c r="E2" s="49" t="s">
        <v>24</v>
      </c>
      <c r="F2" s="49" t="s">
        <v>25</v>
      </c>
      <c r="G2" s="49" t="s">
        <v>26</v>
      </c>
      <c r="H2" s="25">
        <v>3</v>
      </c>
      <c r="I2" s="49" t="s">
        <v>27</v>
      </c>
      <c r="J2" s="25">
        <f>5*H2</f>
        <v>15</v>
      </c>
      <c r="K2" s="25">
        <v>20</v>
      </c>
      <c r="L2" s="49" t="s">
        <v>1</v>
      </c>
      <c r="M2" s="24"/>
      <c r="N2" s="49" t="s">
        <v>28</v>
      </c>
      <c r="O2" s="72"/>
      <c r="P2" s="32"/>
      <c r="Q2" s="49" t="s">
        <v>22</v>
      </c>
      <c r="R2" s="56">
        <v>20</v>
      </c>
    </row>
    <row r="3" spans="1:18" ht="24" customHeight="1">
      <c r="A3" s="22">
        <v>2</v>
      </c>
      <c r="B3" s="23"/>
      <c r="C3" s="43" t="s">
        <v>29</v>
      </c>
      <c r="D3" s="49" t="s">
        <v>30</v>
      </c>
      <c r="E3" s="42" t="s">
        <v>31</v>
      </c>
      <c r="F3" s="49" t="s">
        <v>32</v>
      </c>
      <c r="G3" s="49" t="s">
        <v>26</v>
      </c>
      <c r="H3" s="25">
        <v>1</v>
      </c>
      <c r="I3" s="49" t="s">
        <v>27</v>
      </c>
      <c r="J3" s="25">
        <f>5*H3</f>
        <v>5</v>
      </c>
      <c r="K3" s="25">
        <v>15</v>
      </c>
      <c r="L3" s="49" t="s">
        <v>1</v>
      </c>
      <c r="M3" s="24"/>
      <c r="N3" s="49" t="s">
        <v>28</v>
      </c>
      <c r="O3" s="72"/>
      <c r="P3" s="32"/>
      <c r="Q3" s="49" t="s">
        <v>29</v>
      </c>
      <c r="R3" s="56">
        <v>15</v>
      </c>
    </row>
    <row r="4" spans="1:18">
      <c r="A4" s="22">
        <v>3</v>
      </c>
      <c r="B4" s="23" t="s">
        <v>33</v>
      </c>
      <c r="C4" s="43" t="s">
        <v>34</v>
      </c>
      <c r="D4" s="49" t="s">
        <v>35</v>
      </c>
      <c r="E4" s="49" t="s">
        <v>36</v>
      </c>
      <c r="F4" s="49" t="s">
        <v>37</v>
      </c>
      <c r="G4" s="49" t="s">
        <v>38</v>
      </c>
      <c r="H4" s="25">
        <v>7</v>
      </c>
      <c r="I4" s="49" t="s">
        <v>39</v>
      </c>
      <c r="J4" s="25">
        <f>5*H4</f>
        <v>35</v>
      </c>
      <c r="K4" s="25">
        <v>100</v>
      </c>
      <c r="L4" s="49" t="s">
        <v>1</v>
      </c>
      <c r="M4" s="24"/>
      <c r="N4" s="49" t="s">
        <v>28</v>
      </c>
      <c r="O4" s="72"/>
      <c r="P4" s="32"/>
      <c r="Q4" s="49" t="s">
        <v>34</v>
      </c>
      <c r="R4" s="56">
        <v>130</v>
      </c>
    </row>
    <row r="5" spans="1:18">
      <c r="A5" s="22">
        <v>4</v>
      </c>
      <c r="B5" s="23" t="s">
        <v>40</v>
      </c>
      <c r="C5" s="43" t="s">
        <v>41</v>
      </c>
      <c r="D5" s="49" t="s">
        <v>42</v>
      </c>
      <c r="E5" s="49" t="s">
        <v>43</v>
      </c>
      <c r="F5" s="49" t="s">
        <v>44</v>
      </c>
      <c r="G5" s="49" t="s">
        <v>45</v>
      </c>
      <c r="H5" s="25">
        <v>21</v>
      </c>
      <c r="I5" s="49" t="s">
        <v>39</v>
      </c>
      <c r="J5" s="25">
        <f>5*H5</f>
        <v>105</v>
      </c>
      <c r="K5" s="13"/>
      <c r="L5" s="49" t="s">
        <v>1</v>
      </c>
      <c r="M5" s="24"/>
      <c r="N5" s="49" t="s">
        <v>46</v>
      </c>
      <c r="O5" s="72"/>
      <c r="P5" s="32"/>
      <c r="Q5" s="49" t="s">
        <v>41</v>
      </c>
      <c r="R5" s="58" t="s">
        <v>1237</v>
      </c>
    </row>
    <row r="6" spans="1:18">
      <c r="A6" s="22">
        <v>5</v>
      </c>
      <c r="B6" s="6"/>
      <c r="C6" s="43" t="s">
        <v>1322</v>
      </c>
      <c r="D6" s="43" t="s">
        <v>47</v>
      </c>
      <c r="E6" s="7" t="s">
        <v>48</v>
      </c>
      <c r="F6" s="8" t="s">
        <v>49</v>
      </c>
      <c r="G6" s="41" t="s">
        <v>45</v>
      </c>
      <c r="H6" s="4">
        <v>2</v>
      </c>
      <c r="I6" s="41" t="s">
        <v>39</v>
      </c>
      <c r="J6" s="4">
        <f>5*H6</f>
        <v>10</v>
      </c>
      <c r="K6" s="4"/>
      <c r="L6" s="7"/>
      <c r="M6" s="7"/>
      <c r="N6" s="15" t="s">
        <v>50</v>
      </c>
      <c r="O6" s="14"/>
      <c r="P6" s="32"/>
      <c r="Q6" s="56" t="s">
        <v>1660</v>
      </c>
      <c r="R6" s="56">
        <v>100</v>
      </c>
    </row>
    <row r="7" spans="1:18" s="2" customFormat="1">
      <c r="A7" s="22">
        <v>6</v>
      </c>
      <c r="B7" s="9"/>
      <c r="C7" s="11" t="s">
        <v>51</v>
      </c>
      <c r="D7" s="44" t="s">
        <v>52</v>
      </c>
      <c r="E7" s="10" t="s">
        <v>53</v>
      </c>
      <c r="F7" s="44" t="s">
        <v>1328</v>
      </c>
      <c r="G7" s="45" t="s">
        <v>45</v>
      </c>
      <c r="H7" s="12">
        <v>4</v>
      </c>
      <c r="I7" s="45" t="s">
        <v>39</v>
      </c>
      <c r="J7" s="12">
        <v>20</v>
      </c>
      <c r="K7" s="12"/>
      <c r="L7" s="10" t="s">
        <v>1</v>
      </c>
      <c r="M7" s="10"/>
      <c r="N7" s="16" t="s">
        <v>54</v>
      </c>
      <c r="O7" s="17"/>
      <c r="P7" s="17"/>
      <c r="Q7" s="57" t="s">
        <v>1244</v>
      </c>
      <c r="R7" s="57">
        <v>100</v>
      </c>
    </row>
    <row r="8" spans="1:18" s="2" customFormat="1">
      <c r="A8" s="22">
        <v>7</v>
      </c>
      <c r="B8" s="61" t="s">
        <v>1324</v>
      </c>
      <c r="C8" s="117" t="s">
        <v>1325</v>
      </c>
      <c r="D8" s="62" t="s">
        <v>1326</v>
      </c>
      <c r="E8" s="63" t="s">
        <v>1327</v>
      </c>
      <c r="F8" s="62" t="s">
        <v>1323</v>
      </c>
      <c r="G8" s="62" t="s">
        <v>45</v>
      </c>
      <c r="H8" s="64">
        <v>1</v>
      </c>
      <c r="I8" s="60" t="s">
        <v>1329</v>
      </c>
      <c r="J8" s="64">
        <v>5</v>
      </c>
      <c r="K8" s="64"/>
      <c r="L8" s="49" t="s">
        <v>1</v>
      </c>
      <c r="M8" s="65"/>
      <c r="N8" s="66"/>
      <c r="O8" s="67"/>
      <c r="P8" s="67"/>
      <c r="Q8" s="61" t="s">
        <v>1325</v>
      </c>
      <c r="R8" s="68">
        <v>5</v>
      </c>
    </row>
    <row r="9" spans="1:18" ht="17">
      <c r="A9" s="22">
        <v>8</v>
      </c>
      <c r="B9" s="6"/>
      <c r="C9" s="43" t="s">
        <v>55</v>
      </c>
      <c r="D9" s="41" t="s">
        <v>56</v>
      </c>
      <c r="E9" s="41" t="s">
        <v>57</v>
      </c>
      <c r="F9" s="41" t="s">
        <v>58</v>
      </c>
      <c r="G9" s="41" t="s">
        <v>45</v>
      </c>
      <c r="H9" s="4">
        <v>2</v>
      </c>
      <c r="I9" s="41" t="s">
        <v>59</v>
      </c>
      <c r="J9" s="4">
        <f t="shared" ref="J9:J21" si="0">5*H9</f>
        <v>10</v>
      </c>
      <c r="K9" s="4"/>
      <c r="L9" s="41" t="s">
        <v>1</v>
      </c>
      <c r="M9" s="41" t="s">
        <v>60</v>
      </c>
      <c r="N9" s="15" t="s">
        <v>50</v>
      </c>
      <c r="O9" s="14"/>
      <c r="P9" s="32"/>
      <c r="Q9" s="51"/>
      <c r="R9" s="56"/>
    </row>
    <row r="10" spans="1:18" s="2" customFormat="1" ht="17">
      <c r="A10" s="22">
        <v>9</v>
      </c>
      <c r="B10" s="9"/>
      <c r="C10" s="118" t="s">
        <v>61</v>
      </c>
      <c r="D10" s="9" t="s">
        <v>62</v>
      </c>
      <c r="E10" s="9" t="s">
        <v>63</v>
      </c>
      <c r="F10" s="45" t="s">
        <v>64</v>
      </c>
      <c r="G10" s="45" t="s">
        <v>65</v>
      </c>
      <c r="H10" s="12">
        <v>25</v>
      </c>
      <c r="I10" s="45" t="s">
        <v>66</v>
      </c>
      <c r="J10" s="12">
        <f t="shared" si="0"/>
        <v>125</v>
      </c>
      <c r="K10" s="12"/>
      <c r="L10" s="10" t="s">
        <v>1</v>
      </c>
      <c r="M10" s="45" t="s">
        <v>60</v>
      </c>
      <c r="N10" s="16" t="s">
        <v>54</v>
      </c>
      <c r="O10" s="17"/>
      <c r="P10" s="17"/>
      <c r="Q10" s="52"/>
      <c r="R10" s="57"/>
    </row>
    <row r="11" spans="1:18">
      <c r="A11" s="22">
        <v>10</v>
      </c>
      <c r="B11" s="6" t="s">
        <v>67</v>
      </c>
      <c r="C11" s="119" t="s">
        <v>68</v>
      </c>
      <c r="D11" s="6" t="s">
        <v>69</v>
      </c>
      <c r="E11" s="6" t="s">
        <v>70</v>
      </c>
      <c r="F11" s="41" t="s">
        <v>71</v>
      </c>
      <c r="G11" s="41" t="s">
        <v>38</v>
      </c>
      <c r="H11" s="4">
        <v>52</v>
      </c>
      <c r="I11" s="41" t="s">
        <v>39</v>
      </c>
      <c r="J11" s="4">
        <f t="shared" si="0"/>
        <v>260</v>
      </c>
      <c r="K11" s="4">
        <v>200</v>
      </c>
      <c r="L11" s="41" t="s">
        <v>1</v>
      </c>
      <c r="M11" s="18"/>
      <c r="N11" s="15" t="s">
        <v>50</v>
      </c>
      <c r="O11" s="14"/>
      <c r="P11" s="32"/>
      <c r="Q11" s="23" t="s">
        <v>68</v>
      </c>
      <c r="R11" s="58" t="s">
        <v>1661</v>
      </c>
    </row>
    <row r="12" spans="1:18">
      <c r="A12" s="22">
        <v>11</v>
      </c>
      <c r="B12" s="23" t="s">
        <v>72</v>
      </c>
      <c r="C12" s="119" t="s">
        <v>1236</v>
      </c>
      <c r="D12" s="23" t="s">
        <v>73</v>
      </c>
      <c r="E12" s="23" t="s">
        <v>74</v>
      </c>
      <c r="F12" s="49" t="s">
        <v>75</v>
      </c>
      <c r="G12" s="49" t="s">
        <v>38</v>
      </c>
      <c r="H12" s="25">
        <v>15</v>
      </c>
      <c r="I12" s="49" t="s">
        <v>39</v>
      </c>
      <c r="J12" s="25">
        <f t="shared" si="0"/>
        <v>75</v>
      </c>
      <c r="K12" s="25">
        <v>100</v>
      </c>
      <c r="L12" s="49" t="s">
        <v>1</v>
      </c>
      <c r="M12" s="24"/>
      <c r="N12" s="49" t="s">
        <v>28</v>
      </c>
      <c r="O12" s="72"/>
      <c r="P12" s="32"/>
      <c r="Q12" s="56" t="s">
        <v>1236</v>
      </c>
      <c r="R12" s="56">
        <v>100</v>
      </c>
    </row>
    <row r="13" spans="1:18" ht="17">
      <c r="A13" s="22">
        <v>12</v>
      </c>
      <c r="B13" s="6" t="s">
        <v>76</v>
      </c>
      <c r="C13" s="119" t="s">
        <v>77</v>
      </c>
      <c r="D13" s="6" t="s">
        <v>78</v>
      </c>
      <c r="E13" s="6" t="s">
        <v>79</v>
      </c>
      <c r="F13" s="41" t="s">
        <v>80</v>
      </c>
      <c r="G13" s="41" t="s">
        <v>38</v>
      </c>
      <c r="H13" s="4">
        <v>8</v>
      </c>
      <c r="I13" s="41" t="s">
        <v>81</v>
      </c>
      <c r="J13" s="4">
        <f t="shared" si="0"/>
        <v>40</v>
      </c>
      <c r="K13" s="4"/>
      <c r="L13" s="41" t="s">
        <v>1</v>
      </c>
      <c r="M13" s="41" t="s">
        <v>60</v>
      </c>
      <c r="N13" s="15" t="s">
        <v>50</v>
      </c>
      <c r="O13" s="14"/>
      <c r="P13" s="32"/>
      <c r="Q13" s="51"/>
      <c r="R13" s="56"/>
    </row>
    <row r="14" spans="1:18" ht="17">
      <c r="A14" s="22">
        <v>13</v>
      </c>
      <c r="B14" s="6"/>
      <c r="C14" s="119" t="s">
        <v>82</v>
      </c>
      <c r="D14" s="6" t="s">
        <v>83</v>
      </c>
      <c r="E14" s="6" t="s">
        <v>84</v>
      </c>
      <c r="F14" s="41" t="s">
        <v>85</v>
      </c>
      <c r="G14" s="41" t="s">
        <v>86</v>
      </c>
      <c r="H14" s="4">
        <v>10</v>
      </c>
      <c r="I14" s="41" t="s">
        <v>87</v>
      </c>
      <c r="J14" s="4">
        <f t="shared" si="0"/>
        <v>50</v>
      </c>
      <c r="K14" s="4"/>
      <c r="L14" s="41" t="s">
        <v>1</v>
      </c>
      <c r="M14" s="41" t="s">
        <v>60</v>
      </c>
      <c r="N14" s="15" t="s">
        <v>50</v>
      </c>
      <c r="O14" s="14"/>
      <c r="P14" s="32"/>
      <c r="Q14" s="51"/>
      <c r="R14" s="56"/>
    </row>
    <row r="15" spans="1:18">
      <c r="A15" s="22">
        <v>14</v>
      </c>
      <c r="B15" s="23"/>
      <c r="C15" s="43" t="s">
        <v>88</v>
      </c>
      <c r="D15" s="49" t="s">
        <v>89</v>
      </c>
      <c r="E15" s="49" t="s">
        <v>90</v>
      </c>
      <c r="F15" s="49" t="s">
        <v>91</v>
      </c>
      <c r="G15" s="49" t="s">
        <v>38</v>
      </c>
      <c r="H15" s="25">
        <v>2</v>
      </c>
      <c r="I15" s="49" t="s">
        <v>39</v>
      </c>
      <c r="J15" s="25">
        <f t="shared" si="0"/>
        <v>10</v>
      </c>
      <c r="K15" s="25">
        <v>100</v>
      </c>
      <c r="L15" s="49" t="s">
        <v>1</v>
      </c>
      <c r="M15" s="24"/>
      <c r="N15" s="49" t="s">
        <v>28</v>
      </c>
      <c r="O15" s="72"/>
      <c r="P15" s="32"/>
      <c r="Q15" s="49" t="s">
        <v>88</v>
      </c>
      <c r="R15" s="56">
        <v>100</v>
      </c>
    </row>
    <row r="16" spans="1:18">
      <c r="A16" s="22">
        <v>15</v>
      </c>
      <c r="B16" s="23" t="s">
        <v>92</v>
      </c>
      <c r="C16" s="43" t="s">
        <v>93</v>
      </c>
      <c r="D16" s="49" t="s">
        <v>94</v>
      </c>
      <c r="E16" s="49" t="s">
        <v>95</v>
      </c>
      <c r="F16" s="49" t="s">
        <v>96</v>
      </c>
      <c r="G16" s="49" t="s">
        <v>38</v>
      </c>
      <c r="H16" s="25">
        <v>14</v>
      </c>
      <c r="I16" s="49" t="s">
        <v>39</v>
      </c>
      <c r="J16" s="25">
        <f t="shared" si="0"/>
        <v>70</v>
      </c>
      <c r="K16" s="25">
        <v>100</v>
      </c>
      <c r="L16" s="49" t="s">
        <v>1</v>
      </c>
      <c r="M16" s="24"/>
      <c r="N16" s="49" t="s">
        <v>28</v>
      </c>
      <c r="O16" s="72"/>
      <c r="P16" s="32"/>
      <c r="Q16" s="49" t="s">
        <v>93</v>
      </c>
      <c r="R16" s="56">
        <v>100</v>
      </c>
    </row>
    <row r="17" spans="1:18" ht="17">
      <c r="A17" s="22">
        <v>16</v>
      </c>
      <c r="B17" s="6"/>
      <c r="C17" s="119" t="s">
        <v>97</v>
      </c>
      <c r="D17" s="6" t="s">
        <v>98</v>
      </c>
      <c r="E17" s="6" t="s">
        <v>99</v>
      </c>
      <c r="F17" s="41" t="s">
        <v>100</v>
      </c>
      <c r="G17" s="41" t="s">
        <v>101</v>
      </c>
      <c r="H17" s="4">
        <v>3</v>
      </c>
      <c r="I17" s="19" t="s">
        <v>102</v>
      </c>
      <c r="J17" s="4">
        <f t="shared" si="0"/>
        <v>15</v>
      </c>
      <c r="K17" s="4"/>
      <c r="L17" s="41" t="s">
        <v>1</v>
      </c>
      <c r="M17" s="7"/>
      <c r="N17" s="15" t="s">
        <v>50</v>
      </c>
      <c r="O17" s="14"/>
      <c r="P17" s="32"/>
      <c r="Q17" s="51"/>
      <c r="R17" s="56"/>
    </row>
    <row r="18" spans="1:18" ht="16" customHeight="1">
      <c r="A18" s="22">
        <v>17</v>
      </c>
      <c r="B18" s="23" t="s">
        <v>1314</v>
      </c>
      <c r="C18" s="43" t="s">
        <v>103</v>
      </c>
      <c r="D18" s="49" t="s">
        <v>104</v>
      </c>
      <c r="E18" s="42" t="s">
        <v>105</v>
      </c>
      <c r="F18" s="49" t="s">
        <v>106</v>
      </c>
      <c r="G18" s="49" t="s">
        <v>107</v>
      </c>
      <c r="H18" s="25">
        <v>10</v>
      </c>
      <c r="I18" s="49" t="s">
        <v>81</v>
      </c>
      <c r="J18" s="25">
        <f t="shared" si="0"/>
        <v>50</v>
      </c>
      <c r="K18" s="25"/>
      <c r="L18" s="49" t="s">
        <v>1</v>
      </c>
      <c r="M18" s="49" t="s">
        <v>60</v>
      </c>
      <c r="N18" s="49" t="s">
        <v>108</v>
      </c>
      <c r="O18" s="72"/>
      <c r="P18" s="32"/>
      <c r="Q18" s="56"/>
      <c r="R18" s="56"/>
    </row>
    <row r="19" spans="1:18" ht="17">
      <c r="A19" s="22">
        <v>18</v>
      </c>
      <c r="B19" s="6"/>
      <c r="C19" s="43" t="s">
        <v>109</v>
      </c>
      <c r="D19" s="41" t="s">
        <v>110</v>
      </c>
      <c r="E19" s="41" t="s">
        <v>111</v>
      </c>
      <c r="F19" s="41" t="s">
        <v>112</v>
      </c>
      <c r="G19" s="41" t="s">
        <v>86</v>
      </c>
      <c r="H19" s="4">
        <v>8</v>
      </c>
      <c r="I19" s="19" t="s">
        <v>102</v>
      </c>
      <c r="J19" s="4">
        <f t="shared" si="0"/>
        <v>40</v>
      </c>
      <c r="K19" s="4"/>
      <c r="L19" s="41" t="s">
        <v>1</v>
      </c>
      <c r="M19" s="7"/>
      <c r="N19" s="15" t="s">
        <v>50</v>
      </c>
      <c r="O19" s="14"/>
      <c r="P19" s="32"/>
      <c r="Q19" s="51"/>
      <c r="R19" s="56"/>
    </row>
    <row r="20" spans="1:18">
      <c r="A20" s="22">
        <v>19</v>
      </c>
      <c r="B20" s="23"/>
      <c r="C20" s="43" t="s">
        <v>113</v>
      </c>
      <c r="D20" s="49" t="s">
        <v>114</v>
      </c>
      <c r="E20" s="49" t="s">
        <v>115</v>
      </c>
      <c r="F20" s="49" t="s">
        <v>116</v>
      </c>
      <c r="G20" s="49" t="s">
        <v>38</v>
      </c>
      <c r="H20" s="25">
        <v>9</v>
      </c>
      <c r="I20" s="49" t="s">
        <v>39</v>
      </c>
      <c r="J20" s="25">
        <f t="shared" si="0"/>
        <v>45</v>
      </c>
      <c r="K20" s="25">
        <v>100</v>
      </c>
      <c r="L20" s="49" t="s">
        <v>1</v>
      </c>
      <c r="M20" s="24"/>
      <c r="N20" s="49" t="s">
        <v>28</v>
      </c>
      <c r="O20" s="72"/>
      <c r="P20" s="32"/>
      <c r="Q20" s="49" t="s">
        <v>113</v>
      </c>
      <c r="R20" s="56">
        <v>100</v>
      </c>
    </row>
    <row r="21" spans="1:18" ht="17">
      <c r="A21" s="22">
        <v>20</v>
      </c>
      <c r="B21" s="6"/>
      <c r="C21" s="43" t="s">
        <v>117</v>
      </c>
      <c r="D21" s="41" t="s">
        <v>118</v>
      </c>
      <c r="E21" s="49" t="s">
        <v>1320</v>
      </c>
      <c r="F21" s="49" t="s">
        <v>1321</v>
      </c>
      <c r="G21" s="41" t="s">
        <v>86</v>
      </c>
      <c r="H21" s="4">
        <v>12</v>
      </c>
      <c r="I21" s="41" t="s">
        <v>81</v>
      </c>
      <c r="J21" s="4">
        <f t="shared" si="0"/>
        <v>60</v>
      </c>
      <c r="K21" s="4"/>
      <c r="L21" s="41" t="s">
        <v>1</v>
      </c>
      <c r="M21" s="7"/>
      <c r="N21" s="15" t="s">
        <v>50</v>
      </c>
      <c r="O21" s="14"/>
      <c r="P21" s="32"/>
      <c r="Q21" s="51"/>
      <c r="R21" s="56"/>
    </row>
    <row r="22" spans="1:18" ht="17">
      <c r="A22" s="22">
        <v>21</v>
      </c>
      <c r="B22" s="6"/>
      <c r="C22" s="8" t="s">
        <v>119</v>
      </c>
      <c r="D22" s="43" t="s">
        <v>120</v>
      </c>
      <c r="E22" s="7"/>
      <c r="F22" s="43" t="s">
        <v>121</v>
      </c>
      <c r="G22" s="41" t="s">
        <v>86</v>
      </c>
      <c r="H22" s="4">
        <v>8</v>
      </c>
      <c r="I22" s="41" t="s">
        <v>81</v>
      </c>
      <c r="J22" s="4">
        <v>40</v>
      </c>
      <c r="K22" s="4"/>
      <c r="L22" s="41" t="s">
        <v>1</v>
      </c>
      <c r="M22" s="7"/>
      <c r="N22" s="15" t="s">
        <v>50</v>
      </c>
      <c r="O22" s="14"/>
      <c r="P22" s="32"/>
      <c r="Q22" s="51"/>
      <c r="R22" s="56"/>
    </row>
    <row r="23" spans="1:18" ht="17">
      <c r="A23" s="22">
        <v>22</v>
      </c>
      <c r="B23" s="6"/>
      <c r="C23" s="43" t="s">
        <v>122</v>
      </c>
      <c r="D23" s="41" t="s">
        <v>123</v>
      </c>
      <c r="E23" s="41" t="s">
        <v>124</v>
      </c>
      <c r="F23" s="41" t="s">
        <v>125</v>
      </c>
      <c r="G23" s="41" t="s">
        <v>65</v>
      </c>
      <c r="H23" s="4">
        <v>2</v>
      </c>
      <c r="I23" s="19" t="s">
        <v>126</v>
      </c>
      <c r="J23" s="4">
        <f t="shared" ref="J23:J44" si="1">5*H23</f>
        <v>10</v>
      </c>
      <c r="K23" s="4"/>
      <c r="L23" s="41" t="s">
        <v>1</v>
      </c>
      <c r="M23" s="41" t="s">
        <v>60</v>
      </c>
      <c r="N23" s="15" t="s">
        <v>50</v>
      </c>
      <c r="O23" s="14"/>
      <c r="P23" s="32"/>
      <c r="Q23" s="51"/>
      <c r="R23" s="56"/>
    </row>
    <row r="24" spans="1:18">
      <c r="A24" s="22">
        <v>23</v>
      </c>
      <c r="B24" s="23"/>
      <c r="C24" s="43" t="s">
        <v>127</v>
      </c>
      <c r="D24" s="49" t="s">
        <v>128</v>
      </c>
      <c r="E24" s="49" t="s">
        <v>129</v>
      </c>
      <c r="F24" s="49" t="s">
        <v>130</v>
      </c>
      <c r="G24" s="49" t="s">
        <v>131</v>
      </c>
      <c r="H24" s="25">
        <v>2</v>
      </c>
      <c r="I24" s="33" t="s">
        <v>132</v>
      </c>
      <c r="J24" s="25">
        <f t="shared" si="1"/>
        <v>10</v>
      </c>
      <c r="K24" s="25"/>
      <c r="L24" s="49" t="s">
        <v>1</v>
      </c>
      <c r="M24" s="20">
        <v>45087</v>
      </c>
      <c r="N24" s="49" t="s">
        <v>133</v>
      </c>
      <c r="O24" s="72"/>
      <c r="P24" s="32"/>
      <c r="Q24" s="56"/>
      <c r="R24" s="56"/>
    </row>
    <row r="25" spans="1:18" ht="17">
      <c r="A25" s="22">
        <v>24</v>
      </c>
      <c r="B25" s="6"/>
      <c r="C25" s="43" t="s">
        <v>135</v>
      </c>
      <c r="D25" s="41" t="s">
        <v>136</v>
      </c>
      <c r="E25" s="41" t="s">
        <v>137</v>
      </c>
      <c r="F25" s="41" t="s">
        <v>138</v>
      </c>
      <c r="G25" s="41" t="s">
        <v>139</v>
      </c>
      <c r="H25" s="4">
        <v>1</v>
      </c>
      <c r="I25" s="19" t="s">
        <v>140</v>
      </c>
      <c r="J25" s="4">
        <f t="shared" si="1"/>
        <v>5</v>
      </c>
      <c r="K25" s="4"/>
      <c r="L25" s="41" t="s">
        <v>1</v>
      </c>
      <c r="M25" s="7"/>
      <c r="N25" s="15" t="s">
        <v>50</v>
      </c>
      <c r="O25" s="14"/>
      <c r="P25" s="32"/>
      <c r="Q25" s="51"/>
      <c r="R25" s="56"/>
    </row>
    <row r="26" spans="1:18">
      <c r="A26" s="22">
        <v>25</v>
      </c>
      <c r="B26" s="23"/>
      <c r="C26" s="43" t="s">
        <v>141</v>
      </c>
      <c r="D26" s="49" t="s">
        <v>142</v>
      </c>
      <c r="E26" s="49" t="s">
        <v>143</v>
      </c>
      <c r="F26" s="49" t="s">
        <v>144</v>
      </c>
      <c r="G26" s="49" t="s">
        <v>86</v>
      </c>
      <c r="H26" s="25">
        <v>12</v>
      </c>
      <c r="I26" s="49" t="s">
        <v>39</v>
      </c>
      <c r="J26" s="25">
        <f t="shared" si="1"/>
        <v>60</v>
      </c>
      <c r="K26" s="25">
        <v>100</v>
      </c>
      <c r="L26" s="49" t="s">
        <v>1</v>
      </c>
      <c r="M26" s="24"/>
      <c r="N26" s="49" t="s">
        <v>28</v>
      </c>
      <c r="O26" s="72"/>
      <c r="P26" s="32"/>
      <c r="Q26" s="49" t="s">
        <v>141</v>
      </c>
      <c r="R26" s="56">
        <v>100</v>
      </c>
    </row>
    <row r="27" spans="1:18" ht="17">
      <c r="A27" s="22">
        <v>26</v>
      </c>
      <c r="B27" s="6"/>
      <c r="C27" s="43" t="s">
        <v>145</v>
      </c>
      <c r="D27" s="41" t="s">
        <v>146</v>
      </c>
      <c r="E27" s="41" t="s">
        <v>147</v>
      </c>
      <c r="F27" s="41" t="s">
        <v>148</v>
      </c>
      <c r="G27" s="41" t="s">
        <v>38</v>
      </c>
      <c r="H27" s="4">
        <v>9</v>
      </c>
      <c r="I27" s="19" t="s">
        <v>102</v>
      </c>
      <c r="J27" s="4">
        <f t="shared" si="1"/>
        <v>45</v>
      </c>
      <c r="K27" s="4"/>
      <c r="L27" s="41" t="s">
        <v>1</v>
      </c>
      <c r="M27" s="7"/>
      <c r="N27" s="15" t="s">
        <v>50</v>
      </c>
      <c r="O27" s="14"/>
      <c r="P27" s="32"/>
      <c r="Q27" s="51"/>
      <c r="R27" s="56"/>
    </row>
    <row r="28" spans="1:18">
      <c r="A28" s="22">
        <v>27</v>
      </c>
      <c r="B28" s="23"/>
      <c r="C28" s="43" t="s">
        <v>149</v>
      </c>
      <c r="D28" s="49" t="s">
        <v>150</v>
      </c>
      <c r="E28" s="49" t="s">
        <v>151</v>
      </c>
      <c r="F28" s="49" t="s">
        <v>152</v>
      </c>
      <c r="G28" s="49" t="s">
        <v>101</v>
      </c>
      <c r="H28" s="25">
        <v>1</v>
      </c>
      <c r="I28" s="49" t="s">
        <v>39</v>
      </c>
      <c r="J28" s="25">
        <f t="shared" si="1"/>
        <v>5</v>
      </c>
      <c r="K28" s="25">
        <v>100</v>
      </c>
      <c r="L28" s="49" t="s">
        <v>1</v>
      </c>
      <c r="M28" s="24"/>
      <c r="N28" s="49" t="s">
        <v>28</v>
      </c>
      <c r="O28" s="72"/>
      <c r="P28" s="32"/>
      <c r="Q28" s="49" t="s">
        <v>149</v>
      </c>
      <c r="R28" s="56">
        <v>143</v>
      </c>
    </row>
    <row r="29" spans="1:18">
      <c r="A29" s="22">
        <v>28</v>
      </c>
      <c r="B29" s="23"/>
      <c r="C29" s="43" t="s">
        <v>1238</v>
      </c>
      <c r="D29" s="49" t="s">
        <v>153</v>
      </c>
      <c r="E29" s="49" t="s">
        <v>154</v>
      </c>
      <c r="F29" s="49" t="s">
        <v>155</v>
      </c>
      <c r="G29" s="49" t="s">
        <v>101</v>
      </c>
      <c r="H29" s="25">
        <v>6</v>
      </c>
      <c r="I29" s="49" t="s">
        <v>39</v>
      </c>
      <c r="J29" s="25">
        <f t="shared" si="1"/>
        <v>30</v>
      </c>
      <c r="K29" s="25">
        <v>100</v>
      </c>
      <c r="L29" s="49" t="s">
        <v>1</v>
      </c>
      <c r="M29" s="24"/>
      <c r="N29" s="49" t="s">
        <v>28</v>
      </c>
      <c r="O29" s="72"/>
      <c r="P29" s="32"/>
      <c r="Q29" s="56" t="s">
        <v>1238</v>
      </c>
      <c r="R29" s="56">
        <v>100</v>
      </c>
    </row>
    <row r="30" spans="1:18">
      <c r="A30" s="22">
        <v>29</v>
      </c>
      <c r="B30" s="23" t="s">
        <v>156</v>
      </c>
      <c r="C30" s="43" t="s">
        <v>1307</v>
      </c>
      <c r="D30" s="49" t="s">
        <v>157</v>
      </c>
      <c r="E30" s="49" t="s">
        <v>158</v>
      </c>
      <c r="F30" s="49" t="s">
        <v>159</v>
      </c>
      <c r="G30" s="49" t="s">
        <v>38</v>
      </c>
      <c r="H30" s="25">
        <v>4</v>
      </c>
      <c r="I30" s="49" t="s">
        <v>160</v>
      </c>
      <c r="J30" s="25">
        <f t="shared" si="1"/>
        <v>20</v>
      </c>
      <c r="K30" s="25"/>
      <c r="L30" s="49" t="s">
        <v>1</v>
      </c>
      <c r="M30" s="49" t="s">
        <v>60</v>
      </c>
      <c r="N30" s="49" t="s">
        <v>108</v>
      </c>
      <c r="O30" s="72"/>
      <c r="P30" s="32"/>
      <c r="Q30" s="56"/>
      <c r="R30" s="56"/>
    </row>
    <row r="31" spans="1:18" ht="17" customHeight="1">
      <c r="A31" s="22">
        <v>30</v>
      </c>
      <c r="B31" s="7"/>
      <c r="C31" s="43" t="s">
        <v>161</v>
      </c>
      <c r="D31" s="41" t="s">
        <v>162</v>
      </c>
      <c r="E31" s="41" t="s">
        <v>163</v>
      </c>
      <c r="F31" s="41" t="s">
        <v>164</v>
      </c>
      <c r="G31" s="41" t="s">
        <v>101</v>
      </c>
      <c r="H31" s="4">
        <v>44</v>
      </c>
      <c r="I31" s="41" t="s">
        <v>102</v>
      </c>
      <c r="J31" s="5">
        <f t="shared" si="1"/>
        <v>220</v>
      </c>
      <c r="K31" s="4">
        <v>200</v>
      </c>
      <c r="L31" s="41" t="s">
        <v>2</v>
      </c>
      <c r="M31" s="7"/>
      <c r="N31" s="15" t="s">
        <v>50</v>
      </c>
      <c r="O31" s="21"/>
      <c r="P31" s="32"/>
      <c r="Q31" s="53"/>
      <c r="R31" s="58"/>
    </row>
    <row r="32" spans="1:18" ht="17">
      <c r="A32" s="22">
        <v>31</v>
      </c>
      <c r="B32" s="6"/>
      <c r="C32" s="119" t="s">
        <v>165</v>
      </c>
      <c r="D32" s="41" t="s">
        <v>166</v>
      </c>
      <c r="E32" s="41" t="s">
        <v>167</v>
      </c>
      <c r="F32" s="41" t="s">
        <v>168</v>
      </c>
      <c r="G32" s="41" t="s">
        <v>38</v>
      </c>
      <c r="H32" s="4">
        <v>2</v>
      </c>
      <c r="I32" s="41" t="s">
        <v>102</v>
      </c>
      <c r="J32" s="4">
        <f t="shared" si="1"/>
        <v>10</v>
      </c>
      <c r="K32" s="4"/>
      <c r="L32" s="41" t="s">
        <v>1</v>
      </c>
      <c r="M32" s="7"/>
      <c r="N32" s="15" t="s">
        <v>50</v>
      </c>
      <c r="O32" s="14"/>
      <c r="P32" s="32"/>
      <c r="Q32" s="51"/>
      <c r="R32" s="56"/>
    </row>
    <row r="33" spans="1:18">
      <c r="A33" s="22">
        <v>32</v>
      </c>
      <c r="B33" s="23"/>
      <c r="C33" s="43" t="s">
        <v>1252</v>
      </c>
      <c r="D33" s="49" t="s">
        <v>169</v>
      </c>
      <c r="E33" s="49" t="s">
        <v>170</v>
      </c>
      <c r="F33" s="49" t="s">
        <v>171</v>
      </c>
      <c r="G33" s="49" t="s">
        <v>101</v>
      </c>
      <c r="H33" s="25">
        <v>13</v>
      </c>
      <c r="I33" s="49" t="s">
        <v>172</v>
      </c>
      <c r="J33" s="25">
        <f t="shared" si="1"/>
        <v>65</v>
      </c>
      <c r="K33" s="25">
        <v>100</v>
      </c>
      <c r="L33" s="49" t="s">
        <v>1</v>
      </c>
      <c r="M33" s="24"/>
      <c r="N33" s="49" t="s">
        <v>28</v>
      </c>
      <c r="O33" s="72"/>
      <c r="P33" s="32"/>
      <c r="Q33" s="49" t="s">
        <v>1252</v>
      </c>
      <c r="R33" s="56">
        <v>100</v>
      </c>
    </row>
    <row r="34" spans="1:18">
      <c r="A34" s="22">
        <v>33</v>
      </c>
      <c r="B34" s="23" t="s">
        <v>173</v>
      </c>
      <c r="C34" s="43" t="s">
        <v>174</v>
      </c>
      <c r="D34" s="49" t="s">
        <v>175</v>
      </c>
      <c r="E34" s="49" t="s">
        <v>176</v>
      </c>
      <c r="F34" s="49" t="s">
        <v>177</v>
      </c>
      <c r="G34" s="49" t="s">
        <v>101</v>
      </c>
      <c r="H34" s="25">
        <v>1</v>
      </c>
      <c r="I34" s="49" t="s">
        <v>102</v>
      </c>
      <c r="J34" s="25">
        <f t="shared" si="1"/>
        <v>5</v>
      </c>
      <c r="K34" s="25"/>
      <c r="L34" s="49" t="s">
        <v>1259</v>
      </c>
      <c r="M34" s="24"/>
      <c r="N34" s="49" t="s">
        <v>178</v>
      </c>
      <c r="O34" s="72"/>
      <c r="P34" s="32"/>
      <c r="Q34" s="49" t="s">
        <v>1260</v>
      </c>
      <c r="R34" s="56" t="s">
        <v>1261</v>
      </c>
    </row>
    <row r="35" spans="1:18" ht="17">
      <c r="A35" s="22">
        <v>34</v>
      </c>
      <c r="B35" s="6"/>
      <c r="C35" s="119" t="s">
        <v>179</v>
      </c>
      <c r="D35" s="6" t="s">
        <v>180</v>
      </c>
      <c r="E35" s="6" t="s">
        <v>181</v>
      </c>
      <c r="F35" s="41" t="s">
        <v>182</v>
      </c>
      <c r="G35" s="41" t="s">
        <v>38</v>
      </c>
      <c r="H35" s="4">
        <v>5</v>
      </c>
      <c r="I35" s="41" t="s">
        <v>102</v>
      </c>
      <c r="J35" s="4">
        <f t="shared" si="1"/>
        <v>25</v>
      </c>
      <c r="K35" s="4"/>
      <c r="L35" s="41" t="s">
        <v>1</v>
      </c>
      <c r="M35" s="7"/>
      <c r="N35" s="15" t="s">
        <v>50</v>
      </c>
      <c r="O35" s="14"/>
      <c r="P35" s="32"/>
      <c r="Q35" s="51"/>
      <c r="R35" s="56"/>
    </row>
    <row r="36" spans="1:18">
      <c r="A36" s="22">
        <v>35</v>
      </c>
      <c r="B36" s="6"/>
      <c r="C36" s="119" t="s">
        <v>183</v>
      </c>
      <c r="D36" s="6" t="s">
        <v>184</v>
      </c>
      <c r="E36" s="6" t="s">
        <v>185</v>
      </c>
      <c r="F36" s="41" t="s">
        <v>186</v>
      </c>
      <c r="G36" s="41" t="s">
        <v>38</v>
      </c>
      <c r="H36" s="4">
        <v>3</v>
      </c>
      <c r="I36" s="41" t="s">
        <v>187</v>
      </c>
      <c r="J36" s="4">
        <f t="shared" si="1"/>
        <v>15</v>
      </c>
      <c r="K36" s="4"/>
      <c r="L36" s="41" t="s">
        <v>1</v>
      </c>
      <c r="M36" s="7"/>
      <c r="N36" s="15" t="s">
        <v>50</v>
      </c>
      <c r="O36" s="14"/>
      <c r="P36" s="32"/>
      <c r="Q36" s="23" t="s">
        <v>183</v>
      </c>
      <c r="R36" s="56">
        <v>100</v>
      </c>
    </row>
    <row r="37" spans="1:18" ht="17">
      <c r="A37" s="22">
        <v>36</v>
      </c>
      <c r="B37" s="6" t="s">
        <v>188</v>
      </c>
      <c r="C37" s="119" t="s">
        <v>189</v>
      </c>
      <c r="D37" s="6" t="s">
        <v>190</v>
      </c>
      <c r="E37" s="6" t="s">
        <v>191</v>
      </c>
      <c r="F37" s="41" t="s">
        <v>192</v>
      </c>
      <c r="G37" s="41" t="s">
        <v>38</v>
      </c>
      <c r="H37" s="4">
        <v>1</v>
      </c>
      <c r="I37" s="41" t="s">
        <v>102</v>
      </c>
      <c r="J37" s="4">
        <f t="shared" si="1"/>
        <v>5</v>
      </c>
      <c r="K37" s="4"/>
      <c r="L37" s="41" t="s">
        <v>1</v>
      </c>
      <c r="M37" s="7"/>
      <c r="N37" s="15" t="s">
        <v>50</v>
      </c>
      <c r="O37" s="14"/>
      <c r="P37" s="32"/>
      <c r="Q37" s="51"/>
      <c r="R37" s="56"/>
    </row>
    <row r="38" spans="1:18">
      <c r="A38" s="22">
        <v>37</v>
      </c>
      <c r="B38" s="23" t="s">
        <v>193</v>
      </c>
      <c r="C38" s="43" t="s">
        <v>194</v>
      </c>
      <c r="D38" s="49" t="s">
        <v>195</v>
      </c>
      <c r="E38" s="49" t="s">
        <v>196</v>
      </c>
      <c r="F38" s="49" t="s">
        <v>197</v>
      </c>
      <c r="G38" s="49" t="s">
        <v>101</v>
      </c>
      <c r="H38" s="25">
        <v>6</v>
      </c>
      <c r="I38" s="49" t="s">
        <v>198</v>
      </c>
      <c r="J38" s="25">
        <f t="shared" si="1"/>
        <v>30</v>
      </c>
      <c r="K38" s="25">
        <v>100</v>
      </c>
      <c r="L38" s="49" t="s">
        <v>1</v>
      </c>
      <c r="M38" s="24"/>
      <c r="N38" s="49" t="s">
        <v>28</v>
      </c>
      <c r="O38" s="72"/>
      <c r="P38" s="32"/>
      <c r="Q38" s="49" t="s">
        <v>194</v>
      </c>
      <c r="R38" s="56">
        <v>100</v>
      </c>
    </row>
    <row r="39" spans="1:18">
      <c r="A39" s="22">
        <v>38</v>
      </c>
      <c r="B39" s="23" t="s">
        <v>199</v>
      </c>
      <c r="C39" s="43" t="s">
        <v>200</v>
      </c>
      <c r="D39" s="49" t="s">
        <v>201</v>
      </c>
      <c r="E39" s="49" t="s">
        <v>202</v>
      </c>
      <c r="F39" s="49" t="s">
        <v>203</v>
      </c>
      <c r="G39" s="49" t="s">
        <v>38</v>
      </c>
      <c r="H39" s="25">
        <v>1</v>
      </c>
      <c r="I39" s="49" t="s">
        <v>39</v>
      </c>
      <c r="J39" s="25">
        <f t="shared" si="1"/>
        <v>5</v>
      </c>
      <c r="K39" s="25">
        <v>100</v>
      </c>
      <c r="L39" s="49" t="s">
        <v>1</v>
      </c>
      <c r="M39" s="24"/>
      <c r="N39" s="49" t="s">
        <v>28</v>
      </c>
      <c r="O39" s="72"/>
      <c r="P39" s="32"/>
      <c r="Q39" s="49" t="s">
        <v>200</v>
      </c>
      <c r="R39" s="56">
        <v>100</v>
      </c>
    </row>
    <row r="40" spans="1:18">
      <c r="A40" s="22">
        <v>39</v>
      </c>
      <c r="B40" s="23" t="s">
        <v>204</v>
      </c>
      <c r="C40" s="43" t="s">
        <v>205</v>
      </c>
      <c r="D40" s="49" t="s">
        <v>206</v>
      </c>
      <c r="E40" s="49" t="s">
        <v>207</v>
      </c>
      <c r="F40" s="49" t="s">
        <v>208</v>
      </c>
      <c r="G40" s="49" t="s">
        <v>38</v>
      </c>
      <c r="H40" s="25">
        <v>7</v>
      </c>
      <c r="I40" s="49" t="s">
        <v>81</v>
      </c>
      <c r="J40" s="25">
        <f t="shared" si="1"/>
        <v>35</v>
      </c>
      <c r="K40" s="25"/>
      <c r="L40" s="49" t="s">
        <v>1259</v>
      </c>
      <c r="M40" s="24"/>
      <c r="N40" s="49" t="s">
        <v>209</v>
      </c>
      <c r="O40" s="72"/>
      <c r="P40" s="32"/>
      <c r="Q40" s="56" t="s">
        <v>205</v>
      </c>
      <c r="R40" s="56" t="s">
        <v>1262</v>
      </c>
    </row>
    <row r="41" spans="1:18">
      <c r="A41" s="22">
        <v>40</v>
      </c>
      <c r="B41" s="23" t="s">
        <v>210</v>
      </c>
      <c r="C41" s="43" t="s">
        <v>211</v>
      </c>
      <c r="D41" s="49" t="s">
        <v>212</v>
      </c>
      <c r="E41" s="49" t="s">
        <v>213</v>
      </c>
      <c r="F41" s="49" t="s">
        <v>214</v>
      </c>
      <c r="G41" s="49" t="s">
        <v>38</v>
      </c>
      <c r="H41" s="25">
        <v>3</v>
      </c>
      <c r="I41" s="49" t="s">
        <v>215</v>
      </c>
      <c r="J41" s="25">
        <f t="shared" si="1"/>
        <v>15</v>
      </c>
      <c r="K41" s="25">
        <v>100</v>
      </c>
      <c r="L41" s="49" t="s">
        <v>1259</v>
      </c>
      <c r="M41" s="24"/>
      <c r="N41" s="49" t="s">
        <v>28</v>
      </c>
      <c r="O41" s="72"/>
      <c r="P41" s="32"/>
      <c r="Q41" s="49" t="s">
        <v>211</v>
      </c>
      <c r="R41" s="56">
        <v>100</v>
      </c>
    </row>
    <row r="42" spans="1:18">
      <c r="A42" s="22">
        <v>41</v>
      </c>
      <c r="B42" s="23" t="s">
        <v>217</v>
      </c>
      <c r="C42" s="43" t="s">
        <v>218</v>
      </c>
      <c r="D42" s="49" t="s">
        <v>219</v>
      </c>
      <c r="E42" s="49" t="s">
        <v>220</v>
      </c>
      <c r="F42" s="49" t="s">
        <v>221</v>
      </c>
      <c r="G42" s="49" t="s">
        <v>38</v>
      </c>
      <c r="H42" s="25">
        <v>2</v>
      </c>
      <c r="I42" s="49" t="s">
        <v>81</v>
      </c>
      <c r="J42" s="25">
        <f t="shared" si="1"/>
        <v>10</v>
      </c>
      <c r="K42" s="25"/>
      <c r="L42" s="49" t="s">
        <v>1259</v>
      </c>
      <c r="M42" s="24"/>
      <c r="N42" s="46" t="s">
        <v>1258</v>
      </c>
      <c r="O42" s="72"/>
      <c r="P42" s="32"/>
      <c r="Q42" s="56"/>
      <c r="R42" s="56"/>
    </row>
    <row r="43" spans="1:18">
      <c r="A43" s="22">
        <v>42</v>
      </c>
      <c r="B43" s="23" t="s">
        <v>223</v>
      </c>
      <c r="C43" s="43" t="s">
        <v>224</v>
      </c>
      <c r="D43" s="49" t="s">
        <v>1656</v>
      </c>
      <c r="E43" s="49" t="s">
        <v>225</v>
      </c>
      <c r="F43" s="49" t="s">
        <v>226</v>
      </c>
      <c r="G43" s="49" t="s">
        <v>38</v>
      </c>
      <c r="H43" s="25">
        <v>4</v>
      </c>
      <c r="I43" s="49" t="s">
        <v>215</v>
      </c>
      <c r="J43" s="25">
        <f t="shared" si="1"/>
        <v>20</v>
      </c>
      <c r="K43" s="25">
        <v>100</v>
      </c>
      <c r="L43" s="49" t="s">
        <v>1259</v>
      </c>
      <c r="M43" s="24"/>
      <c r="N43" s="49" t="s">
        <v>28</v>
      </c>
      <c r="O43" s="72"/>
      <c r="P43" s="32"/>
      <c r="Q43" s="49" t="s">
        <v>224</v>
      </c>
      <c r="R43" s="56">
        <v>100</v>
      </c>
    </row>
    <row r="44" spans="1:18">
      <c r="A44" s="22">
        <v>43</v>
      </c>
      <c r="B44" s="49" t="s">
        <v>227</v>
      </c>
      <c r="C44" s="43" t="s">
        <v>228</v>
      </c>
      <c r="D44" s="49" t="s">
        <v>1655</v>
      </c>
      <c r="E44" s="49" t="s">
        <v>229</v>
      </c>
      <c r="F44" s="49" t="s">
        <v>230</v>
      </c>
      <c r="G44" s="49" t="s">
        <v>86</v>
      </c>
      <c r="H44" s="25">
        <v>9</v>
      </c>
      <c r="I44" s="49" t="s">
        <v>172</v>
      </c>
      <c r="J44" s="25">
        <f t="shared" si="1"/>
        <v>45</v>
      </c>
      <c r="K44" s="25">
        <v>100</v>
      </c>
      <c r="L44" s="49" t="s">
        <v>1259</v>
      </c>
      <c r="M44" s="24"/>
      <c r="N44" s="49" t="s">
        <v>28</v>
      </c>
      <c r="O44" s="72"/>
      <c r="P44" s="32"/>
      <c r="Q44" s="49" t="s">
        <v>228</v>
      </c>
      <c r="R44" s="56">
        <v>100</v>
      </c>
    </row>
    <row r="45" spans="1:18" ht="17">
      <c r="A45" s="22">
        <v>44</v>
      </c>
      <c r="B45" s="6"/>
      <c r="C45" s="8" t="s">
        <v>231</v>
      </c>
      <c r="D45" s="43" t="s">
        <v>232</v>
      </c>
      <c r="E45" s="7"/>
      <c r="F45" s="7" t="s">
        <v>233</v>
      </c>
      <c r="G45" s="41" t="s">
        <v>86</v>
      </c>
      <c r="H45" s="4">
        <v>1</v>
      </c>
      <c r="I45" s="41" t="s">
        <v>172</v>
      </c>
      <c r="J45" s="4">
        <v>5</v>
      </c>
      <c r="K45" s="4"/>
      <c r="L45" s="41" t="s">
        <v>1</v>
      </c>
      <c r="M45" s="7"/>
      <c r="N45" s="15" t="s">
        <v>50</v>
      </c>
      <c r="O45" s="14"/>
      <c r="P45" s="32"/>
      <c r="Q45" s="51"/>
      <c r="R45" s="56"/>
    </row>
    <row r="46" spans="1:18">
      <c r="A46" s="22">
        <v>45</v>
      </c>
      <c r="B46" s="23" t="s">
        <v>234</v>
      </c>
      <c r="C46" s="43" t="s">
        <v>235</v>
      </c>
      <c r="D46" s="49" t="s">
        <v>1654</v>
      </c>
      <c r="E46" s="49" t="s">
        <v>236</v>
      </c>
      <c r="F46" s="49" t="s">
        <v>237</v>
      </c>
      <c r="G46" s="49" t="s">
        <v>101</v>
      </c>
      <c r="H46" s="25">
        <v>4</v>
      </c>
      <c r="I46" s="49" t="s">
        <v>238</v>
      </c>
      <c r="J46" s="25">
        <f>5*H46</f>
        <v>20</v>
      </c>
      <c r="K46" s="25"/>
      <c r="L46" s="49" t="s">
        <v>1259</v>
      </c>
      <c r="M46" s="24"/>
      <c r="N46" s="49" t="s">
        <v>239</v>
      </c>
      <c r="O46" s="72"/>
      <c r="P46" s="32"/>
      <c r="Q46" s="56" t="s">
        <v>235</v>
      </c>
      <c r="R46" s="56">
        <v>25</v>
      </c>
    </row>
    <row r="47" spans="1:18" s="2" customFormat="1" ht="17">
      <c r="A47" s="22">
        <v>46</v>
      </c>
      <c r="B47" s="9"/>
      <c r="C47" s="11"/>
      <c r="D47" s="44" t="s">
        <v>240</v>
      </c>
      <c r="E47" s="10"/>
      <c r="F47" s="44" t="s">
        <v>241</v>
      </c>
      <c r="G47" s="45" t="s">
        <v>101</v>
      </c>
      <c r="H47" s="12">
        <v>4</v>
      </c>
      <c r="I47" s="10"/>
      <c r="J47" s="12">
        <v>20</v>
      </c>
      <c r="K47" s="12"/>
      <c r="L47" s="10" t="s">
        <v>1</v>
      </c>
      <c r="M47" s="10"/>
      <c r="N47" s="16" t="s">
        <v>54</v>
      </c>
      <c r="O47" s="17"/>
      <c r="P47" s="17"/>
      <c r="Q47" s="52"/>
      <c r="R47" s="57"/>
    </row>
    <row r="48" spans="1:18">
      <c r="A48" s="22">
        <v>47</v>
      </c>
      <c r="B48" s="23" t="s">
        <v>242</v>
      </c>
      <c r="C48" s="43" t="s">
        <v>243</v>
      </c>
      <c r="D48" s="49" t="s">
        <v>1653</v>
      </c>
      <c r="E48" s="49" t="s">
        <v>244</v>
      </c>
      <c r="F48" s="49" t="s">
        <v>245</v>
      </c>
      <c r="G48" s="49" t="s">
        <v>38</v>
      </c>
      <c r="H48" s="25">
        <v>2</v>
      </c>
      <c r="I48" s="49" t="s">
        <v>81</v>
      </c>
      <c r="J48" s="25">
        <f t="shared" ref="J48:J57" si="2">5*H48</f>
        <v>10</v>
      </c>
      <c r="K48" s="25"/>
      <c r="L48" s="49" t="s">
        <v>1259</v>
      </c>
      <c r="M48" s="24"/>
      <c r="N48" s="49" t="s">
        <v>209</v>
      </c>
      <c r="O48" s="72"/>
      <c r="P48" s="32"/>
      <c r="Q48" s="56" t="s">
        <v>243</v>
      </c>
      <c r="R48" s="56">
        <v>30</v>
      </c>
    </row>
    <row r="49" spans="1:18">
      <c r="A49" s="22">
        <v>48</v>
      </c>
      <c r="B49" s="23"/>
      <c r="C49" s="43" t="s">
        <v>1240</v>
      </c>
      <c r="D49" s="49" t="s">
        <v>1652</v>
      </c>
      <c r="E49" s="49" t="s">
        <v>246</v>
      </c>
      <c r="F49" s="49" t="s">
        <v>247</v>
      </c>
      <c r="G49" s="49" t="s">
        <v>101</v>
      </c>
      <c r="H49" s="25">
        <v>2</v>
      </c>
      <c r="I49" s="49" t="s">
        <v>39</v>
      </c>
      <c r="J49" s="25">
        <f t="shared" si="2"/>
        <v>10</v>
      </c>
      <c r="K49" s="25">
        <v>100</v>
      </c>
      <c r="L49" s="49" t="s">
        <v>1259</v>
      </c>
      <c r="M49" s="24"/>
      <c r="N49" s="49" t="s">
        <v>28</v>
      </c>
      <c r="O49" s="72"/>
      <c r="P49" s="32"/>
      <c r="Q49" s="56" t="s">
        <v>1240</v>
      </c>
      <c r="R49" s="56">
        <v>100</v>
      </c>
    </row>
    <row r="50" spans="1:18" ht="17">
      <c r="A50" s="22">
        <v>49</v>
      </c>
      <c r="B50" s="6"/>
      <c r="C50" s="43" t="s">
        <v>248</v>
      </c>
      <c r="D50" s="41" t="s">
        <v>249</v>
      </c>
      <c r="E50" s="41" t="s">
        <v>250</v>
      </c>
      <c r="F50" s="41" t="s">
        <v>251</v>
      </c>
      <c r="G50" s="41" t="s">
        <v>38</v>
      </c>
      <c r="H50" s="4">
        <v>1</v>
      </c>
      <c r="I50" s="19" t="s">
        <v>81</v>
      </c>
      <c r="J50" s="4">
        <f t="shared" si="2"/>
        <v>5</v>
      </c>
      <c r="K50" s="4"/>
      <c r="L50" s="41" t="s">
        <v>216</v>
      </c>
      <c r="M50" s="41" t="s">
        <v>60</v>
      </c>
      <c r="N50" s="15" t="s">
        <v>50</v>
      </c>
      <c r="O50" s="14"/>
      <c r="P50" s="32"/>
      <c r="Q50" s="51"/>
      <c r="R50" s="56"/>
    </row>
    <row r="51" spans="1:18" ht="17">
      <c r="A51" s="22">
        <v>50</v>
      </c>
      <c r="B51" s="6"/>
      <c r="C51" s="43" t="s">
        <v>252</v>
      </c>
      <c r="D51" s="41" t="s">
        <v>253</v>
      </c>
      <c r="E51" s="41" t="s">
        <v>254</v>
      </c>
      <c r="F51" s="41" t="s">
        <v>255</v>
      </c>
      <c r="G51" s="41" t="s">
        <v>101</v>
      </c>
      <c r="H51" s="4">
        <v>2</v>
      </c>
      <c r="I51" s="41" t="s">
        <v>256</v>
      </c>
      <c r="J51" s="4">
        <f t="shared" si="2"/>
        <v>10</v>
      </c>
      <c r="K51" s="4"/>
      <c r="L51" s="41" t="s">
        <v>216</v>
      </c>
      <c r="M51" s="7"/>
      <c r="N51" s="15" t="s">
        <v>50</v>
      </c>
      <c r="O51" s="14"/>
      <c r="P51" s="32"/>
      <c r="Q51" s="51"/>
      <c r="R51" s="56"/>
    </row>
    <row r="52" spans="1:18">
      <c r="A52" s="22">
        <v>51</v>
      </c>
      <c r="B52" s="23" t="s">
        <v>257</v>
      </c>
      <c r="C52" s="43" t="s">
        <v>1308</v>
      </c>
      <c r="D52" s="49" t="s">
        <v>1651</v>
      </c>
      <c r="E52" s="49" t="s">
        <v>258</v>
      </c>
      <c r="F52" s="49" t="s">
        <v>259</v>
      </c>
      <c r="G52" s="49" t="s">
        <v>38</v>
      </c>
      <c r="H52" s="25">
        <v>2</v>
      </c>
      <c r="I52" s="49" t="s">
        <v>81</v>
      </c>
      <c r="J52" s="25">
        <f t="shared" si="2"/>
        <v>10</v>
      </c>
      <c r="K52" s="25"/>
      <c r="L52" s="49" t="s">
        <v>1259</v>
      </c>
      <c r="M52" s="49" t="s">
        <v>60</v>
      </c>
      <c r="N52" s="49" t="s">
        <v>260</v>
      </c>
      <c r="O52" s="72"/>
      <c r="P52" s="32"/>
      <c r="Q52" s="56"/>
      <c r="R52" s="56"/>
    </row>
    <row r="53" spans="1:18">
      <c r="A53" s="22">
        <v>52</v>
      </c>
      <c r="B53" s="23" t="s">
        <v>261</v>
      </c>
      <c r="C53" s="43" t="s">
        <v>1239</v>
      </c>
      <c r="D53" s="49" t="s">
        <v>1650</v>
      </c>
      <c r="E53" s="49" t="s">
        <v>262</v>
      </c>
      <c r="F53" s="49" t="s">
        <v>263</v>
      </c>
      <c r="G53" s="49" t="s">
        <v>86</v>
      </c>
      <c r="H53" s="25">
        <v>5</v>
      </c>
      <c r="I53" s="49" t="s">
        <v>39</v>
      </c>
      <c r="J53" s="25">
        <f t="shared" si="2"/>
        <v>25</v>
      </c>
      <c r="K53" s="25">
        <v>100</v>
      </c>
      <c r="L53" s="49" t="s">
        <v>1259</v>
      </c>
      <c r="M53" s="24"/>
      <c r="N53" s="49" t="s">
        <v>28</v>
      </c>
      <c r="O53" s="72"/>
      <c r="P53" s="32"/>
      <c r="Q53" s="56" t="s">
        <v>1239</v>
      </c>
      <c r="R53" s="56">
        <v>200</v>
      </c>
    </row>
    <row r="54" spans="1:18">
      <c r="A54" s="22">
        <v>53</v>
      </c>
      <c r="B54" s="23" t="s">
        <v>264</v>
      </c>
      <c r="C54" s="43" t="s">
        <v>1245</v>
      </c>
      <c r="D54" s="49" t="s">
        <v>1649</v>
      </c>
      <c r="E54" s="49" t="s">
        <v>265</v>
      </c>
      <c r="F54" s="49" t="s">
        <v>266</v>
      </c>
      <c r="G54" s="49" t="s">
        <v>86</v>
      </c>
      <c r="H54" s="25">
        <v>3</v>
      </c>
      <c r="I54" s="49" t="s">
        <v>102</v>
      </c>
      <c r="J54" s="25">
        <f t="shared" si="2"/>
        <v>15</v>
      </c>
      <c r="K54" s="25">
        <v>100</v>
      </c>
      <c r="L54" s="49" t="s">
        <v>1259</v>
      </c>
      <c r="M54" s="24"/>
      <c r="N54" s="49" t="s">
        <v>267</v>
      </c>
      <c r="O54" s="72"/>
      <c r="P54" s="32"/>
      <c r="Q54" s="49" t="s">
        <v>1245</v>
      </c>
      <c r="R54" s="56">
        <v>100</v>
      </c>
    </row>
    <row r="55" spans="1:18">
      <c r="A55" s="22">
        <v>54</v>
      </c>
      <c r="B55" s="23"/>
      <c r="C55" s="43" t="s">
        <v>268</v>
      </c>
      <c r="D55" s="49" t="s">
        <v>1648</v>
      </c>
      <c r="E55" s="49" t="s">
        <v>269</v>
      </c>
      <c r="F55" s="49" t="s">
        <v>270</v>
      </c>
      <c r="G55" s="49" t="s">
        <v>38</v>
      </c>
      <c r="H55" s="25">
        <v>1</v>
      </c>
      <c r="I55" s="49" t="s">
        <v>39</v>
      </c>
      <c r="J55" s="25">
        <f t="shared" si="2"/>
        <v>5</v>
      </c>
      <c r="K55" s="25">
        <v>100</v>
      </c>
      <c r="L55" s="49" t="s">
        <v>1259</v>
      </c>
      <c r="M55" s="24"/>
      <c r="N55" s="49" t="s">
        <v>28</v>
      </c>
      <c r="O55" s="72"/>
      <c r="P55" s="32"/>
      <c r="Q55" s="49" t="s">
        <v>268</v>
      </c>
      <c r="R55" s="56">
        <v>100</v>
      </c>
    </row>
    <row r="56" spans="1:18">
      <c r="A56" s="22">
        <v>55</v>
      </c>
      <c r="B56" s="23" t="s">
        <v>271</v>
      </c>
      <c r="C56" s="43" t="s">
        <v>272</v>
      </c>
      <c r="D56" s="49" t="s">
        <v>273</v>
      </c>
      <c r="E56" s="49" t="s">
        <v>274</v>
      </c>
      <c r="F56" s="49" t="s">
        <v>275</v>
      </c>
      <c r="G56" s="49" t="s">
        <v>45</v>
      </c>
      <c r="H56" s="25">
        <v>2</v>
      </c>
      <c r="I56" s="49" t="s">
        <v>81</v>
      </c>
      <c r="J56" s="25">
        <f t="shared" si="2"/>
        <v>10</v>
      </c>
      <c r="K56" s="25"/>
      <c r="L56" s="49" t="s">
        <v>1259</v>
      </c>
      <c r="M56" s="24"/>
      <c r="N56" s="49" t="s">
        <v>209</v>
      </c>
      <c r="O56" s="72"/>
      <c r="P56" s="32"/>
      <c r="Q56" s="56" t="s">
        <v>272</v>
      </c>
      <c r="R56" s="56">
        <v>20</v>
      </c>
    </row>
    <row r="57" spans="1:18">
      <c r="A57" s="22">
        <v>56</v>
      </c>
      <c r="B57" s="23" t="s">
        <v>276</v>
      </c>
      <c r="C57" s="43" t="s">
        <v>1250</v>
      </c>
      <c r="D57" s="49" t="s">
        <v>277</v>
      </c>
      <c r="E57" s="49" t="s">
        <v>278</v>
      </c>
      <c r="F57" s="49" t="s">
        <v>279</v>
      </c>
      <c r="G57" s="49" t="s">
        <v>86</v>
      </c>
      <c r="H57" s="25">
        <v>5</v>
      </c>
      <c r="I57" s="33" t="s">
        <v>198</v>
      </c>
      <c r="J57" s="25">
        <f t="shared" si="2"/>
        <v>25</v>
      </c>
      <c r="K57" s="25">
        <v>100</v>
      </c>
      <c r="L57" s="49" t="s">
        <v>1259</v>
      </c>
      <c r="M57" s="24"/>
      <c r="N57" s="49" t="s">
        <v>1249</v>
      </c>
      <c r="O57" s="72"/>
      <c r="P57" s="32"/>
      <c r="Q57" s="49" t="s">
        <v>1250</v>
      </c>
      <c r="R57" s="56">
        <v>100</v>
      </c>
    </row>
    <row r="58" spans="1:18" s="2" customFormat="1" ht="17">
      <c r="A58" s="22">
        <v>57</v>
      </c>
      <c r="B58" s="9"/>
      <c r="C58" s="11" t="s">
        <v>280</v>
      </c>
      <c r="D58" s="45" t="s">
        <v>281</v>
      </c>
      <c r="E58" s="10"/>
      <c r="F58" s="10" t="s">
        <v>282</v>
      </c>
      <c r="G58" s="45" t="s">
        <v>86</v>
      </c>
      <c r="H58" s="12">
        <v>2</v>
      </c>
      <c r="I58" s="10" t="s">
        <v>283</v>
      </c>
      <c r="J58" s="12">
        <v>10</v>
      </c>
      <c r="K58" s="12"/>
      <c r="L58" s="10" t="s">
        <v>1</v>
      </c>
      <c r="M58" s="10"/>
      <c r="N58" s="16" t="s">
        <v>54</v>
      </c>
      <c r="O58" s="17"/>
      <c r="P58" s="17"/>
      <c r="Q58" s="52"/>
      <c r="R58" s="57"/>
    </row>
    <row r="59" spans="1:18" s="2" customFormat="1" ht="17">
      <c r="A59" s="22">
        <v>58</v>
      </c>
      <c r="B59" s="9"/>
      <c r="C59" s="44" t="s">
        <v>284</v>
      </c>
      <c r="D59" s="45" t="s">
        <v>285</v>
      </c>
      <c r="E59" s="45" t="s">
        <v>286</v>
      </c>
      <c r="F59" s="45" t="s">
        <v>287</v>
      </c>
      <c r="G59" s="45" t="s">
        <v>86</v>
      </c>
      <c r="H59" s="12">
        <v>3</v>
      </c>
      <c r="I59" s="45" t="s">
        <v>102</v>
      </c>
      <c r="J59" s="12">
        <f t="shared" ref="J59:J99" si="3">5*H59</f>
        <v>15</v>
      </c>
      <c r="K59" s="12"/>
      <c r="L59" s="10" t="s">
        <v>1</v>
      </c>
      <c r="M59" s="10"/>
      <c r="N59" s="16" t="s">
        <v>54</v>
      </c>
      <c r="O59" s="17"/>
      <c r="P59" s="17"/>
      <c r="Q59" s="52"/>
      <c r="R59" s="57"/>
    </row>
    <row r="60" spans="1:18" ht="17">
      <c r="A60" s="22">
        <v>59</v>
      </c>
      <c r="B60" s="6"/>
      <c r="C60" s="43" t="s">
        <v>288</v>
      </c>
      <c r="D60" s="41" t="s">
        <v>289</v>
      </c>
      <c r="E60" s="41" t="s">
        <v>290</v>
      </c>
      <c r="F60" s="41" t="s">
        <v>291</v>
      </c>
      <c r="G60" s="41" t="s">
        <v>45</v>
      </c>
      <c r="H60" s="4">
        <v>1</v>
      </c>
      <c r="I60" s="19" t="s">
        <v>87</v>
      </c>
      <c r="J60" s="4">
        <f t="shared" si="3"/>
        <v>5</v>
      </c>
      <c r="K60" s="4"/>
      <c r="L60" s="41" t="s">
        <v>1</v>
      </c>
      <c r="M60" s="41" t="s">
        <v>60</v>
      </c>
      <c r="N60" s="15" t="s">
        <v>50</v>
      </c>
      <c r="O60" s="14"/>
      <c r="P60" s="32"/>
      <c r="Q60" s="51"/>
      <c r="R60" s="56"/>
    </row>
    <row r="61" spans="1:18" ht="17">
      <c r="A61" s="22">
        <v>60</v>
      </c>
      <c r="B61" s="6"/>
      <c r="C61" s="43" t="s">
        <v>292</v>
      </c>
      <c r="D61" s="41" t="s">
        <v>293</v>
      </c>
      <c r="E61" s="41" t="s">
        <v>294</v>
      </c>
      <c r="F61" s="41" t="s">
        <v>295</v>
      </c>
      <c r="G61" s="41" t="s">
        <v>296</v>
      </c>
      <c r="H61" s="4">
        <v>2</v>
      </c>
      <c r="I61" s="41" t="s">
        <v>297</v>
      </c>
      <c r="J61" s="4">
        <f t="shared" si="3"/>
        <v>10</v>
      </c>
      <c r="K61" s="4"/>
      <c r="L61" s="41" t="s">
        <v>1</v>
      </c>
      <c r="M61" s="7"/>
      <c r="N61" s="15" t="s">
        <v>50</v>
      </c>
      <c r="O61" s="14"/>
      <c r="P61" s="32"/>
      <c r="Q61" s="51"/>
      <c r="R61" s="56"/>
    </row>
    <row r="62" spans="1:18" ht="17">
      <c r="A62" s="22">
        <v>61</v>
      </c>
      <c r="B62" s="6"/>
      <c r="C62" s="43" t="s">
        <v>298</v>
      </c>
      <c r="D62" s="41" t="s">
        <v>299</v>
      </c>
      <c r="E62" s="41" t="s">
        <v>300</v>
      </c>
      <c r="F62" s="41" t="s">
        <v>301</v>
      </c>
      <c r="G62" s="41" t="s">
        <v>296</v>
      </c>
      <c r="H62" s="4">
        <v>2</v>
      </c>
      <c r="I62" s="41" t="s">
        <v>297</v>
      </c>
      <c r="J62" s="4">
        <f t="shared" si="3"/>
        <v>10</v>
      </c>
      <c r="K62" s="4"/>
      <c r="L62" s="41" t="s">
        <v>1</v>
      </c>
      <c r="M62" s="7"/>
      <c r="N62" s="15" t="s">
        <v>50</v>
      </c>
      <c r="O62" s="14"/>
      <c r="P62" s="32"/>
      <c r="Q62" s="51"/>
      <c r="R62" s="56"/>
    </row>
    <row r="63" spans="1:18" ht="17">
      <c r="A63" s="22">
        <v>62</v>
      </c>
      <c r="B63" s="6"/>
      <c r="C63" s="43" t="s">
        <v>302</v>
      </c>
      <c r="D63" s="41" t="s">
        <v>303</v>
      </c>
      <c r="E63" s="41" t="s">
        <v>304</v>
      </c>
      <c r="F63" s="41" t="s">
        <v>305</v>
      </c>
      <c r="G63" s="41" t="s">
        <v>38</v>
      </c>
      <c r="H63" s="4">
        <v>2</v>
      </c>
      <c r="I63" s="41" t="s">
        <v>102</v>
      </c>
      <c r="J63" s="4">
        <f t="shared" si="3"/>
        <v>10</v>
      </c>
      <c r="K63" s="4"/>
      <c r="L63" s="41" t="s">
        <v>1</v>
      </c>
      <c r="M63" s="7"/>
      <c r="N63" s="15" t="s">
        <v>50</v>
      </c>
      <c r="O63" s="14"/>
      <c r="P63" s="32"/>
      <c r="Q63" s="51"/>
      <c r="R63" s="56"/>
    </row>
    <row r="64" spans="1:18" ht="17">
      <c r="A64" s="22">
        <v>63</v>
      </c>
      <c r="B64" s="6"/>
      <c r="C64" s="43" t="s">
        <v>306</v>
      </c>
      <c r="D64" s="41" t="s">
        <v>307</v>
      </c>
      <c r="E64" s="41" t="s">
        <v>308</v>
      </c>
      <c r="F64" s="41" t="s">
        <v>309</v>
      </c>
      <c r="G64" s="41" t="s">
        <v>310</v>
      </c>
      <c r="H64" s="4">
        <v>2</v>
      </c>
      <c r="I64" s="7"/>
      <c r="J64" s="4">
        <f t="shared" si="3"/>
        <v>10</v>
      </c>
      <c r="K64" s="4"/>
      <c r="L64" s="41" t="s">
        <v>3</v>
      </c>
      <c r="M64" s="7"/>
      <c r="N64" s="46" t="s">
        <v>1256</v>
      </c>
      <c r="O64" s="14"/>
      <c r="P64" s="32"/>
      <c r="Q64" s="51"/>
      <c r="R64" s="56"/>
    </row>
    <row r="65" spans="1:18" ht="17">
      <c r="A65" s="22">
        <v>64</v>
      </c>
      <c r="B65" s="6"/>
      <c r="C65" s="43" t="s">
        <v>306</v>
      </c>
      <c r="D65" s="41" t="s">
        <v>307</v>
      </c>
      <c r="E65" s="41" t="s">
        <v>308</v>
      </c>
      <c r="F65" s="41" t="s">
        <v>311</v>
      </c>
      <c r="G65" s="41" t="s">
        <v>312</v>
      </c>
      <c r="H65" s="4">
        <v>4</v>
      </c>
      <c r="I65" s="7"/>
      <c r="J65" s="4">
        <f t="shared" si="3"/>
        <v>20</v>
      </c>
      <c r="K65" s="4"/>
      <c r="L65" s="41" t="s">
        <v>3</v>
      </c>
      <c r="M65" s="7"/>
      <c r="N65" s="46" t="s">
        <v>1256</v>
      </c>
      <c r="O65" s="14"/>
      <c r="P65" s="32"/>
      <c r="Q65" s="51"/>
      <c r="R65" s="56"/>
    </row>
    <row r="66" spans="1:18" ht="17">
      <c r="A66" s="22">
        <v>65</v>
      </c>
      <c r="B66" s="6"/>
      <c r="C66" s="43" t="s">
        <v>306</v>
      </c>
      <c r="D66" s="41" t="s">
        <v>307</v>
      </c>
      <c r="E66" s="41" t="s">
        <v>308</v>
      </c>
      <c r="F66" s="41" t="s">
        <v>313</v>
      </c>
      <c r="G66" s="41" t="s">
        <v>314</v>
      </c>
      <c r="H66" s="4">
        <v>5</v>
      </c>
      <c r="I66" s="7"/>
      <c r="J66" s="4">
        <f t="shared" si="3"/>
        <v>25</v>
      </c>
      <c r="K66" s="4"/>
      <c r="L66" s="41" t="s">
        <v>3</v>
      </c>
      <c r="M66" s="7"/>
      <c r="N66" s="46" t="s">
        <v>1256</v>
      </c>
      <c r="O66" s="14"/>
      <c r="P66" s="32"/>
      <c r="Q66" s="51"/>
      <c r="R66" s="56"/>
    </row>
    <row r="67" spans="1:18" ht="17">
      <c r="A67" s="22">
        <v>66</v>
      </c>
      <c r="B67" s="6"/>
      <c r="C67" s="43" t="s">
        <v>306</v>
      </c>
      <c r="D67" s="41" t="s">
        <v>307</v>
      </c>
      <c r="E67" s="41" t="s">
        <v>308</v>
      </c>
      <c r="F67" s="41" t="s">
        <v>315</v>
      </c>
      <c r="G67" s="41" t="s">
        <v>316</v>
      </c>
      <c r="H67" s="4">
        <v>1</v>
      </c>
      <c r="I67" s="7"/>
      <c r="J67" s="4">
        <f t="shared" si="3"/>
        <v>5</v>
      </c>
      <c r="K67" s="4"/>
      <c r="L67" s="41" t="s">
        <v>3</v>
      </c>
      <c r="M67" s="7"/>
      <c r="N67" s="46" t="s">
        <v>1256</v>
      </c>
      <c r="O67" s="14"/>
      <c r="P67" s="32"/>
      <c r="Q67" s="51"/>
      <c r="R67" s="56"/>
    </row>
    <row r="68" spans="1:18" ht="17">
      <c r="A68" s="22">
        <v>67</v>
      </c>
      <c r="B68" s="6"/>
      <c r="C68" s="43" t="s">
        <v>306</v>
      </c>
      <c r="D68" s="41" t="s">
        <v>307</v>
      </c>
      <c r="E68" s="41" t="s">
        <v>308</v>
      </c>
      <c r="F68" s="41" t="s">
        <v>317</v>
      </c>
      <c r="G68" s="41" t="s">
        <v>318</v>
      </c>
      <c r="H68" s="4">
        <v>4</v>
      </c>
      <c r="I68" s="7"/>
      <c r="J68" s="4">
        <f t="shared" si="3"/>
        <v>20</v>
      </c>
      <c r="K68" s="4"/>
      <c r="L68" s="41" t="s">
        <v>3</v>
      </c>
      <c r="M68" s="7"/>
      <c r="N68" s="46" t="s">
        <v>1256</v>
      </c>
      <c r="O68" s="14"/>
      <c r="P68" s="32"/>
      <c r="Q68" s="51"/>
      <c r="R68" s="56"/>
    </row>
    <row r="69" spans="1:18" ht="17">
      <c r="A69" s="22">
        <v>68</v>
      </c>
      <c r="B69" s="6"/>
      <c r="C69" s="43" t="s">
        <v>306</v>
      </c>
      <c r="D69" s="41" t="s">
        <v>319</v>
      </c>
      <c r="E69" s="41" t="s">
        <v>320</v>
      </c>
      <c r="F69" s="41" t="s">
        <v>321</v>
      </c>
      <c r="G69" s="41" t="s">
        <v>322</v>
      </c>
      <c r="H69" s="4">
        <v>1</v>
      </c>
      <c r="I69" s="7"/>
      <c r="J69" s="4">
        <f t="shared" si="3"/>
        <v>5</v>
      </c>
      <c r="K69" s="4"/>
      <c r="L69" s="41" t="s">
        <v>3</v>
      </c>
      <c r="M69" s="7"/>
      <c r="N69" s="46" t="s">
        <v>1288</v>
      </c>
      <c r="O69" s="14"/>
      <c r="P69" s="32"/>
      <c r="Q69" s="51"/>
      <c r="R69" s="56"/>
    </row>
    <row r="70" spans="1:18">
      <c r="A70" s="22">
        <v>69</v>
      </c>
      <c r="B70" s="116"/>
      <c r="C70" s="120" t="s">
        <v>1290</v>
      </c>
      <c r="D70" s="60" t="s">
        <v>1290</v>
      </c>
      <c r="E70" s="60" t="s">
        <v>1291</v>
      </c>
      <c r="F70" s="49" t="s">
        <v>1289</v>
      </c>
      <c r="G70" s="49" t="s">
        <v>323</v>
      </c>
      <c r="H70" s="25">
        <v>9</v>
      </c>
      <c r="I70" s="24" t="s">
        <v>1306</v>
      </c>
      <c r="J70" s="25">
        <v>45</v>
      </c>
      <c r="K70" s="25"/>
      <c r="L70" s="49" t="s">
        <v>1259</v>
      </c>
      <c r="M70" s="24"/>
      <c r="N70" s="46" t="s">
        <v>1292</v>
      </c>
      <c r="O70" s="72"/>
      <c r="P70" s="32"/>
      <c r="Q70" s="60" t="s">
        <v>1290</v>
      </c>
      <c r="R70" s="56">
        <v>60</v>
      </c>
    </row>
    <row r="71" spans="1:18">
      <c r="A71" s="22">
        <v>70</v>
      </c>
      <c r="B71" s="116"/>
      <c r="C71" s="120" t="s">
        <v>1293</v>
      </c>
      <c r="D71" s="60" t="s">
        <v>1293</v>
      </c>
      <c r="E71" s="60" t="s">
        <v>1294</v>
      </c>
      <c r="F71" s="49" t="s">
        <v>324</v>
      </c>
      <c r="G71" s="49" t="s">
        <v>325</v>
      </c>
      <c r="H71" s="25">
        <v>1</v>
      </c>
      <c r="I71" s="24" t="s">
        <v>1306</v>
      </c>
      <c r="J71" s="25">
        <f t="shared" si="3"/>
        <v>5</v>
      </c>
      <c r="K71" s="25"/>
      <c r="L71" s="49" t="s">
        <v>1259</v>
      </c>
      <c r="M71" s="24"/>
      <c r="N71" s="46" t="s">
        <v>1297</v>
      </c>
      <c r="O71" s="72"/>
      <c r="P71" s="32"/>
      <c r="Q71" s="60" t="s">
        <v>1293</v>
      </c>
      <c r="R71" s="56">
        <v>8</v>
      </c>
    </row>
    <row r="72" spans="1:18">
      <c r="A72" s="22">
        <v>71</v>
      </c>
      <c r="B72" s="116"/>
      <c r="C72" s="120" t="s">
        <v>1295</v>
      </c>
      <c r="D72" s="60" t="s">
        <v>1295</v>
      </c>
      <c r="E72" s="60" t="s">
        <v>1296</v>
      </c>
      <c r="F72" s="49" t="s">
        <v>326</v>
      </c>
      <c r="G72" s="49" t="s">
        <v>327</v>
      </c>
      <c r="H72" s="25">
        <v>1</v>
      </c>
      <c r="I72" s="24" t="s">
        <v>1306</v>
      </c>
      <c r="J72" s="25">
        <f t="shared" si="3"/>
        <v>5</v>
      </c>
      <c r="K72" s="25"/>
      <c r="L72" s="49" t="s">
        <v>1259</v>
      </c>
      <c r="M72" s="24"/>
      <c r="N72" s="46" t="s">
        <v>1298</v>
      </c>
      <c r="O72" s="72"/>
      <c r="P72" s="32"/>
      <c r="Q72" s="60" t="s">
        <v>1295</v>
      </c>
      <c r="R72" s="56">
        <v>8</v>
      </c>
    </row>
    <row r="73" spans="1:18">
      <c r="A73" s="22">
        <v>72</v>
      </c>
      <c r="B73" s="116"/>
      <c r="C73" s="120" t="s">
        <v>1300</v>
      </c>
      <c r="D73" s="60" t="s">
        <v>1300</v>
      </c>
      <c r="E73" s="60" t="s">
        <v>1301</v>
      </c>
      <c r="F73" s="49" t="s">
        <v>1299</v>
      </c>
      <c r="G73" s="49" t="s">
        <v>328</v>
      </c>
      <c r="H73" s="25">
        <v>2</v>
      </c>
      <c r="I73" s="24" t="s">
        <v>1306</v>
      </c>
      <c r="J73" s="25">
        <f t="shared" si="3"/>
        <v>10</v>
      </c>
      <c r="K73" s="25"/>
      <c r="L73" s="49" t="s">
        <v>1259</v>
      </c>
      <c r="M73" s="24"/>
      <c r="N73" s="46" t="s">
        <v>1302</v>
      </c>
      <c r="O73" s="72"/>
      <c r="P73" s="32"/>
      <c r="Q73" s="60" t="s">
        <v>1300</v>
      </c>
      <c r="R73" s="56">
        <v>15</v>
      </c>
    </row>
    <row r="74" spans="1:18">
      <c r="A74" s="22">
        <v>73</v>
      </c>
      <c r="B74" s="116"/>
      <c r="C74" s="120" t="s">
        <v>1303</v>
      </c>
      <c r="D74" s="60" t="s">
        <v>1303</v>
      </c>
      <c r="E74" s="60" t="s">
        <v>1304</v>
      </c>
      <c r="F74" s="49" t="s">
        <v>329</v>
      </c>
      <c r="G74" s="49" t="s">
        <v>330</v>
      </c>
      <c r="H74" s="25">
        <v>1</v>
      </c>
      <c r="I74" s="24" t="s">
        <v>1306</v>
      </c>
      <c r="J74" s="25">
        <f t="shared" si="3"/>
        <v>5</v>
      </c>
      <c r="K74" s="25"/>
      <c r="L74" s="49" t="s">
        <v>1259</v>
      </c>
      <c r="M74" s="24"/>
      <c r="N74" s="46" t="s">
        <v>1305</v>
      </c>
      <c r="O74" s="72"/>
      <c r="P74" s="32"/>
      <c r="Q74" s="60" t="s">
        <v>1303</v>
      </c>
      <c r="R74" s="56">
        <v>8</v>
      </c>
    </row>
    <row r="75" spans="1:18" ht="17">
      <c r="A75" s="22">
        <v>74</v>
      </c>
      <c r="B75" s="6"/>
      <c r="C75" s="43" t="s">
        <v>331</v>
      </c>
      <c r="D75" s="41" t="s">
        <v>332</v>
      </c>
      <c r="E75" s="41" t="s">
        <v>333</v>
      </c>
      <c r="F75" s="41" t="s">
        <v>334</v>
      </c>
      <c r="G75" s="41" t="s">
        <v>335</v>
      </c>
      <c r="H75" s="4">
        <v>6</v>
      </c>
      <c r="I75" s="41" t="s">
        <v>336</v>
      </c>
      <c r="J75" s="4">
        <f t="shared" si="3"/>
        <v>30</v>
      </c>
      <c r="K75" s="4"/>
      <c r="L75" s="41" t="s">
        <v>1</v>
      </c>
      <c r="M75" s="7"/>
      <c r="N75" s="15" t="s">
        <v>50</v>
      </c>
      <c r="O75" s="14"/>
      <c r="P75" s="32"/>
      <c r="Q75" s="51"/>
      <c r="R75" s="56"/>
    </row>
    <row r="76" spans="1:18" ht="14" customHeight="1">
      <c r="A76" s="22">
        <v>75</v>
      </c>
      <c r="B76" s="6"/>
      <c r="C76" s="43" t="s">
        <v>337</v>
      </c>
      <c r="D76" s="41" t="s">
        <v>338</v>
      </c>
      <c r="E76" s="41" t="s">
        <v>339</v>
      </c>
      <c r="F76" s="41" t="s">
        <v>340</v>
      </c>
      <c r="G76" s="41" t="s">
        <v>341</v>
      </c>
      <c r="H76" s="4">
        <v>1</v>
      </c>
      <c r="I76" s="19" t="s">
        <v>342</v>
      </c>
      <c r="J76" s="4">
        <f t="shared" si="3"/>
        <v>5</v>
      </c>
      <c r="K76" s="4"/>
      <c r="L76" s="41" t="s">
        <v>1</v>
      </c>
      <c r="M76" s="7"/>
      <c r="N76" s="15" t="s">
        <v>50</v>
      </c>
      <c r="O76" s="14"/>
      <c r="P76" s="32"/>
      <c r="Q76" s="51"/>
      <c r="R76" s="56"/>
    </row>
    <row r="77" spans="1:18" ht="17">
      <c r="A77" s="22">
        <v>76</v>
      </c>
      <c r="B77" s="6"/>
      <c r="C77" s="43" t="s">
        <v>343</v>
      </c>
      <c r="D77" s="41" t="s">
        <v>344</v>
      </c>
      <c r="E77" s="41" t="s">
        <v>345</v>
      </c>
      <c r="F77" s="41" t="s">
        <v>346</v>
      </c>
      <c r="G77" s="41" t="s">
        <v>335</v>
      </c>
      <c r="H77" s="4">
        <v>2</v>
      </c>
      <c r="I77" s="19" t="s">
        <v>342</v>
      </c>
      <c r="J77" s="4">
        <f t="shared" si="3"/>
        <v>10</v>
      </c>
      <c r="K77" s="4"/>
      <c r="L77" s="41" t="s">
        <v>1</v>
      </c>
      <c r="M77" s="7"/>
      <c r="N77" s="15" t="s">
        <v>50</v>
      </c>
      <c r="O77" s="14"/>
      <c r="P77" s="32"/>
      <c r="Q77" s="51"/>
      <c r="R77" s="56"/>
    </row>
    <row r="78" spans="1:18" ht="17">
      <c r="A78" s="22">
        <v>77</v>
      </c>
      <c r="B78" s="6"/>
      <c r="C78" s="43" t="s">
        <v>347</v>
      </c>
      <c r="D78" s="41" t="s">
        <v>348</v>
      </c>
      <c r="E78" s="41" t="s">
        <v>349</v>
      </c>
      <c r="F78" s="41" t="s">
        <v>350</v>
      </c>
      <c r="G78" s="41" t="s">
        <v>341</v>
      </c>
      <c r="H78" s="4">
        <v>6</v>
      </c>
      <c r="I78" s="41" t="s">
        <v>336</v>
      </c>
      <c r="J78" s="4">
        <f t="shared" si="3"/>
        <v>30</v>
      </c>
      <c r="K78" s="4"/>
      <c r="L78" s="41" t="s">
        <v>1</v>
      </c>
      <c r="M78" s="7"/>
      <c r="N78" s="15" t="s">
        <v>50</v>
      </c>
      <c r="O78" s="14"/>
      <c r="P78" s="32"/>
      <c r="Q78" s="51"/>
      <c r="R78" s="56"/>
    </row>
    <row r="79" spans="1:18" ht="17">
      <c r="A79" s="22">
        <v>78</v>
      </c>
      <c r="B79" s="6"/>
      <c r="C79" s="43" t="s">
        <v>351</v>
      </c>
      <c r="D79" s="41" t="s">
        <v>351</v>
      </c>
      <c r="E79" s="41" t="s">
        <v>352</v>
      </c>
      <c r="F79" s="41" t="s">
        <v>353</v>
      </c>
      <c r="G79" s="41" t="s">
        <v>354</v>
      </c>
      <c r="H79" s="4">
        <v>1</v>
      </c>
      <c r="I79" s="19" t="s">
        <v>355</v>
      </c>
      <c r="J79" s="4">
        <f t="shared" si="3"/>
        <v>5</v>
      </c>
      <c r="K79" s="4"/>
      <c r="L79" s="41" t="s">
        <v>1</v>
      </c>
      <c r="M79" s="7"/>
      <c r="N79" s="15" t="s">
        <v>50</v>
      </c>
      <c r="O79" s="14"/>
      <c r="P79" s="32"/>
      <c r="Q79" s="51"/>
      <c r="R79" s="56"/>
    </row>
    <row r="80" spans="1:18" ht="17">
      <c r="A80" s="22">
        <v>79</v>
      </c>
      <c r="B80" s="6"/>
      <c r="C80" s="43" t="s">
        <v>356</v>
      </c>
      <c r="D80" s="41" t="s">
        <v>356</v>
      </c>
      <c r="E80" s="41" t="s">
        <v>357</v>
      </c>
      <c r="F80" s="41" t="s">
        <v>358</v>
      </c>
      <c r="G80" s="41" t="s">
        <v>359</v>
      </c>
      <c r="H80" s="4">
        <v>12</v>
      </c>
      <c r="I80" s="26" t="s">
        <v>360</v>
      </c>
      <c r="J80" s="4">
        <f t="shared" si="3"/>
        <v>60</v>
      </c>
      <c r="K80" s="27"/>
      <c r="L80" s="41" t="s">
        <v>1</v>
      </c>
      <c r="M80" s="7"/>
      <c r="N80" s="15" t="s">
        <v>50</v>
      </c>
      <c r="O80" s="14"/>
      <c r="P80" s="32"/>
      <c r="Q80" s="51"/>
      <c r="R80" s="56"/>
    </row>
    <row r="81" spans="1:19" ht="17">
      <c r="A81" s="22">
        <v>80</v>
      </c>
      <c r="B81" s="6"/>
      <c r="C81" s="43" t="s">
        <v>361</v>
      </c>
      <c r="D81" s="41" t="s">
        <v>361</v>
      </c>
      <c r="E81" s="41" t="s">
        <v>362</v>
      </c>
      <c r="F81" s="41" t="s">
        <v>363</v>
      </c>
      <c r="G81" s="41" t="s">
        <v>364</v>
      </c>
      <c r="H81" s="4">
        <v>3</v>
      </c>
      <c r="I81" s="19" t="s">
        <v>365</v>
      </c>
      <c r="J81" s="4">
        <f t="shared" si="3"/>
        <v>15</v>
      </c>
      <c r="K81" s="4"/>
      <c r="L81" s="28" t="s">
        <v>1</v>
      </c>
      <c r="M81" s="18"/>
      <c r="N81" s="15" t="s">
        <v>50</v>
      </c>
      <c r="O81" s="14"/>
      <c r="P81" s="32"/>
      <c r="Q81" s="51"/>
      <c r="R81" s="56"/>
    </row>
    <row r="82" spans="1:19" ht="17">
      <c r="A82" s="22">
        <v>81</v>
      </c>
      <c r="B82" s="6"/>
      <c r="C82" s="43" t="s">
        <v>366</v>
      </c>
      <c r="D82" s="41" t="s">
        <v>366</v>
      </c>
      <c r="E82" s="41" t="s">
        <v>367</v>
      </c>
      <c r="F82" s="41" t="s">
        <v>368</v>
      </c>
      <c r="G82" s="41" t="s">
        <v>369</v>
      </c>
      <c r="H82" s="4">
        <v>6</v>
      </c>
      <c r="I82" s="41" t="s">
        <v>370</v>
      </c>
      <c r="J82" s="4">
        <f t="shared" si="3"/>
        <v>30</v>
      </c>
      <c r="K82" s="4"/>
      <c r="L82" s="41" t="s">
        <v>1</v>
      </c>
      <c r="M82" s="7"/>
      <c r="N82" s="15" t="s">
        <v>50</v>
      </c>
      <c r="O82" s="14"/>
      <c r="P82" s="32"/>
      <c r="Q82" s="51"/>
      <c r="R82" s="56"/>
    </row>
    <row r="83" spans="1:19" ht="17">
      <c r="A83" s="22">
        <v>82</v>
      </c>
      <c r="B83" s="6"/>
      <c r="C83" s="43" t="s">
        <v>371</v>
      </c>
      <c r="D83" s="41" t="s">
        <v>371</v>
      </c>
      <c r="E83" s="41" t="s">
        <v>372</v>
      </c>
      <c r="F83" s="41" t="s">
        <v>373</v>
      </c>
      <c r="G83" s="41" t="s">
        <v>374</v>
      </c>
      <c r="H83" s="4">
        <v>15</v>
      </c>
      <c r="I83" s="41" t="s">
        <v>370</v>
      </c>
      <c r="J83" s="4">
        <f t="shared" si="3"/>
        <v>75</v>
      </c>
      <c r="K83" s="4"/>
      <c r="L83" s="41" t="s">
        <v>1</v>
      </c>
      <c r="M83" s="7"/>
      <c r="N83" s="15" t="s">
        <v>50</v>
      </c>
      <c r="O83" s="14"/>
      <c r="P83" s="32"/>
      <c r="Q83" s="51"/>
      <c r="R83" s="56"/>
    </row>
    <row r="84" spans="1:19" ht="17">
      <c r="A84" s="22">
        <v>83</v>
      </c>
      <c r="B84" s="6"/>
      <c r="C84" s="43" t="s">
        <v>375</v>
      </c>
      <c r="D84" s="41" t="s">
        <v>375</v>
      </c>
      <c r="E84" s="41" t="s">
        <v>376</v>
      </c>
      <c r="F84" s="41" t="s">
        <v>377</v>
      </c>
      <c r="G84" s="41" t="s">
        <v>374</v>
      </c>
      <c r="H84" s="4">
        <v>12</v>
      </c>
      <c r="I84" s="41" t="s">
        <v>360</v>
      </c>
      <c r="J84" s="4">
        <f t="shared" si="3"/>
        <v>60</v>
      </c>
      <c r="K84" s="4"/>
      <c r="L84" s="41" t="s">
        <v>1</v>
      </c>
      <c r="M84" s="7"/>
      <c r="N84" s="15" t="s">
        <v>50</v>
      </c>
      <c r="O84" s="14"/>
      <c r="P84" s="32"/>
      <c r="Q84" s="51"/>
      <c r="R84" s="56"/>
    </row>
    <row r="85" spans="1:19">
      <c r="A85" s="22">
        <v>84</v>
      </c>
      <c r="B85" s="6" t="s">
        <v>378</v>
      </c>
      <c r="C85" s="43" t="s">
        <v>379</v>
      </c>
      <c r="D85" s="41" t="s">
        <v>380</v>
      </c>
      <c r="E85" s="41" t="s">
        <v>381</v>
      </c>
      <c r="F85" s="41" t="s">
        <v>382</v>
      </c>
      <c r="G85" s="41" t="s">
        <v>359</v>
      </c>
      <c r="H85" s="4">
        <v>5</v>
      </c>
      <c r="I85" s="41" t="s">
        <v>383</v>
      </c>
      <c r="J85" s="4">
        <f t="shared" si="3"/>
        <v>25</v>
      </c>
      <c r="K85" s="4">
        <v>50</v>
      </c>
      <c r="L85" s="41" t="s">
        <v>1</v>
      </c>
      <c r="M85" s="7"/>
      <c r="N85" s="15" t="s">
        <v>50</v>
      </c>
      <c r="O85" s="14"/>
      <c r="P85" s="32"/>
      <c r="Q85" s="49" t="s">
        <v>379</v>
      </c>
      <c r="R85" s="56">
        <v>100</v>
      </c>
    </row>
    <row r="86" spans="1:19" s="2" customFormat="1" ht="17">
      <c r="A86" s="22">
        <v>85</v>
      </c>
      <c r="B86" s="9"/>
      <c r="C86" s="44" t="s">
        <v>384</v>
      </c>
      <c r="D86" s="45" t="s">
        <v>384</v>
      </c>
      <c r="E86" s="45" t="s">
        <v>385</v>
      </c>
      <c r="F86" s="45" t="s">
        <v>386</v>
      </c>
      <c r="G86" s="45" t="s">
        <v>354</v>
      </c>
      <c r="H86" s="12">
        <v>1</v>
      </c>
      <c r="I86" s="29" t="s">
        <v>360</v>
      </c>
      <c r="J86" s="12">
        <f t="shared" si="3"/>
        <v>5</v>
      </c>
      <c r="K86" s="12"/>
      <c r="L86" s="10" t="s">
        <v>1</v>
      </c>
      <c r="M86" s="45" t="s">
        <v>60</v>
      </c>
      <c r="N86" s="16" t="s">
        <v>54</v>
      </c>
      <c r="O86" s="17"/>
      <c r="P86" s="17"/>
      <c r="Q86" s="52"/>
      <c r="R86" s="57"/>
    </row>
    <row r="87" spans="1:19">
      <c r="A87" s="22">
        <v>86</v>
      </c>
      <c r="B87" s="23"/>
      <c r="C87" s="43" t="s">
        <v>387</v>
      </c>
      <c r="D87" s="24" t="s">
        <v>388</v>
      </c>
      <c r="E87" s="49" t="s">
        <v>389</v>
      </c>
      <c r="F87" s="49" t="s">
        <v>390</v>
      </c>
      <c r="G87" s="49" t="s">
        <v>391</v>
      </c>
      <c r="H87" s="25">
        <v>2</v>
      </c>
      <c r="I87" s="49" t="s">
        <v>392</v>
      </c>
      <c r="J87" s="25">
        <f t="shared" si="3"/>
        <v>10</v>
      </c>
      <c r="K87" s="25"/>
      <c r="L87" s="10" t="s">
        <v>1</v>
      </c>
      <c r="M87" s="24"/>
      <c r="N87" s="49" t="s">
        <v>209</v>
      </c>
      <c r="O87" s="72"/>
      <c r="P87" s="32"/>
      <c r="Q87" s="49" t="s">
        <v>1263</v>
      </c>
      <c r="R87" s="56">
        <v>15</v>
      </c>
      <c r="S87" s="59"/>
    </row>
    <row r="88" spans="1:19" ht="17">
      <c r="A88" s="22">
        <v>87</v>
      </c>
      <c r="B88" s="6"/>
      <c r="C88" s="43" t="s">
        <v>393</v>
      </c>
      <c r="D88" s="41" t="s">
        <v>394</v>
      </c>
      <c r="E88" s="41" t="s">
        <v>395</v>
      </c>
      <c r="F88" s="41" t="s">
        <v>396</v>
      </c>
      <c r="G88" s="41" t="s">
        <v>397</v>
      </c>
      <c r="H88" s="4">
        <v>1</v>
      </c>
      <c r="I88" s="41" t="s">
        <v>398</v>
      </c>
      <c r="J88" s="4">
        <f t="shared" si="3"/>
        <v>5</v>
      </c>
      <c r="K88" s="4"/>
      <c r="L88" s="41" t="s">
        <v>1</v>
      </c>
      <c r="M88" s="41" t="s">
        <v>60</v>
      </c>
      <c r="N88" s="15" t="s">
        <v>50</v>
      </c>
      <c r="O88" s="14"/>
      <c r="P88" s="32"/>
      <c r="Q88" s="51"/>
      <c r="R88" s="56"/>
    </row>
    <row r="89" spans="1:19" ht="17">
      <c r="A89" s="22">
        <v>88</v>
      </c>
      <c r="B89" s="6"/>
      <c r="C89" s="43" t="s">
        <v>399</v>
      </c>
      <c r="D89" s="41" t="s">
        <v>400</v>
      </c>
      <c r="E89" s="41" t="s">
        <v>401</v>
      </c>
      <c r="F89" s="41" t="s">
        <v>402</v>
      </c>
      <c r="G89" s="41" t="s">
        <v>359</v>
      </c>
      <c r="H89" s="4">
        <v>2</v>
      </c>
      <c r="I89" s="19" t="s">
        <v>360</v>
      </c>
      <c r="J89" s="4">
        <f t="shared" si="3"/>
        <v>10</v>
      </c>
      <c r="K89" s="4"/>
      <c r="L89" s="41" t="s">
        <v>1</v>
      </c>
      <c r="M89" s="7"/>
      <c r="N89" s="15" t="s">
        <v>50</v>
      </c>
      <c r="O89" s="14"/>
      <c r="P89" s="32"/>
      <c r="Q89" s="51"/>
      <c r="R89" s="56"/>
    </row>
    <row r="90" spans="1:19" ht="17">
      <c r="A90" s="22">
        <v>89</v>
      </c>
      <c r="B90" s="6"/>
      <c r="C90" s="43" t="s">
        <v>403</v>
      </c>
      <c r="D90" s="41" t="s">
        <v>404</v>
      </c>
      <c r="E90" s="41" t="s">
        <v>405</v>
      </c>
      <c r="F90" s="41" t="s">
        <v>406</v>
      </c>
      <c r="G90" s="41" t="s">
        <v>407</v>
      </c>
      <c r="H90" s="4">
        <v>2</v>
      </c>
      <c r="I90" s="19" t="s">
        <v>408</v>
      </c>
      <c r="J90" s="4">
        <f t="shared" si="3"/>
        <v>10</v>
      </c>
      <c r="K90" s="4"/>
      <c r="L90" s="28" t="s">
        <v>1</v>
      </c>
      <c r="M90" s="18"/>
      <c r="N90" s="15" t="s">
        <v>50</v>
      </c>
      <c r="O90" s="14"/>
      <c r="P90" s="32"/>
      <c r="Q90" s="51"/>
      <c r="R90" s="56"/>
    </row>
    <row r="91" spans="1:19" ht="17">
      <c r="A91" s="22">
        <v>90</v>
      </c>
      <c r="B91" s="6"/>
      <c r="C91" s="43" t="s">
        <v>409</v>
      </c>
      <c r="D91" s="41" t="s">
        <v>409</v>
      </c>
      <c r="E91" s="41" t="s">
        <v>410</v>
      </c>
      <c r="F91" s="41" t="s">
        <v>411</v>
      </c>
      <c r="G91" s="41" t="s">
        <v>412</v>
      </c>
      <c r="H91" s="4">
        <v>2</v>
      </c>
      <c r="I91" s="19" t="s">
        <v>413</v>
      </c>
      <c r="J91" s="4">
        <f t="shared" si="3"/>
        <v>10</v>
      </c>
      <c r="K91" s="4"/>
      <c r="L91" s="41" t="s">
        <v>1</v>
      </c>
      <c r="M91" s="7"/>
      <c r="N91" s="15" t="s">
        <v>50</v>
      </c>
      <c r="O91" s="14"/>
      <c r="P91" s="32"/>
      <c r="Q91" s="51"/>
      <c r="R91" s="56"/>
    </row>
    <row r="92" spans="1:19" ht="17">
      <c r="A92" s="22">
        <v>91</v>
      </c>
      <c r="B92" s="6"/>
      <c r="C92" s="43" t="s">
        <v>414</v>
      </c>
      <c r="D92" s="41" t="s">
        <v>414</v>
      </c>
      <c r="E92" s="41" t="s">
        <v>415</v>
      </c>
      <c r="F92" s="41" t="s">
        <v>416</v>
      </c>
      <c r="G92" s="41" t="s">
        <v>369</v>
      </c>
      <c r="H92" s="4">
        <v>3</v>
      </c>
      <c r="I92" s="19" t="s">
        <v>417</v>
      </c>
      <c r="J92" s="4">
        <f t="shared" si="3"/>
        <v>15</v>
      </c>
      <c r="K92" s="4"/>
      <c r="L92" s="41" t="s">
        <v>1</v>
      </c>
      <c r="M92" s="7"/>
      <c r="N92" s="15" t="s">
        <v>50</v>
      </c>
      <c r="O92" s="14"/>
      <c r="P92" s="32"/>
      <c r="Q92" s="51"/>
      <c r="R92" s="56"/>
    </row>
    <row r="93" spans="1:19" s="2" customFormat="1" ht="17">
      <c r="A93" s="22">
        <v>92</v>
      </c>
      <c r="B93" s="9"/>
      <c r="C93" s="44" t="s">
        <v>418</v>
      </c>
      <c r="D93" s="45" t="s">
        <v>419</v>
      </c>
      <c r="E93" s="45" t="s">
        <v>420</v>
      </c>
      <c r="F93" s="45" t="s">
        <v>421</v>
      </c>
      <c r="G93" s="45" t="s">
        <v>369</v>
      </c>
      <c r="H93" s="12">
        <v>2</v>
      </c>
      <c r="I93" s="29" t="s">
        <v>422</v>
      </c>
      <c r="J93" s="12">
        <f t="shared" si="3"/>
        <v>10</v>
      </c>
      <c r="K93" s="12"/>
      <c r="L93" s="10" t="s">
        <v>1</v>
      </c>
      <c r="M93" s="30"/>
      <c r="N93" s="16" t="s">
        <v>54</v>
      </c>
      <c r="O93" s="17"/>
      <c r="P93" s="17"/>
      <c r="Q93" s="52"/>
      <c r="R93" s="57"/>
    </row>
    <row r="94" spans="1:19" ht="17">
      <c r="A94" s="22">
        <v>93</v>
      </c>
      <c r="B94" s="6"/>
      <c r="C94" s="43" t="s">
        <v>423</v>
      </c>
      <c r="D94" s="41" t="s">
        <v>423</v>
      </c>
      <c r="E94" s="41" t="s">
        <v>424</v>
      </c>
      <c r="F94" s="41" t="s">
        <v>425</v>
      </c>
      <c r="G94" s="41" t="s">
        <v>369</v>
      </c>
      <c r="H94" s="4">
        <v>1</v>
      </c>
      <c r="I94" s="41" t="s">
        <v>408</v>
      </c>
      <c r="J94" s="4">
        <f t="shared" si="3"/>
        <v>5</v>
      </c>
      <c r="K94" s="4"/>
      <c r="L94" s="41" t="s">
        <v>1</v>
      </c>
      <c r="M94" s="41" t="s">
        <v>60</v>
      </c>
      <c r="N94" s="15" t="s">
        <v>50</v>
      </c>
      <c r="O94" s="14"/>
      <c r="P94" s="32"/>
      <c r="Q94" s="51"/>
      <c r="R94" s="56"/>
    </row>
    <row r="95" spans="1:19" ht="17">
      <c r="A95" s="22">
        <v>94</v>
      </c>
      <c r="B95" s="6"/>
      <c r="C95" s="43" t="s">
        <v>426</v>
      </c>
      <c r="D95" s="41" t="s">
        <v>426</v>
      </c>
      <c r="E95" s="41" t="s">
        <v>427</v>
      </c>
      <c r="F95" s="47" t="s">
        <v>428</v>
      </c>
      <c r="G95" s="41" t="s">
        <v>359</v>
      </c>
      <c r="H95" s="4">
        <v>2</v>
      </c>
      <c r="I95" s="41" t="s">
        <v>417</v>
      </c>
      <c r="J95" s="4">
        <f t="shared" si="3"/>
        <v>10</v>
      </c>
      <c r="K95" s="4"/>
      <c r="L95" s="41" t="s">
        <v>1</v>
      </c>
      <c r="M95" s="7"/>
      <c r="N95" s="15" t="s">
        <v>50</v>
      </c>
      <c r="O95" s="14"/>
      <c r="P95" s="32"/>
      <c r="Q95" s="51"/>
      <c r="R95" s="56"/>
    </row>
    <row r="96" spans="1:19" ht="17">
      <c r="A96" s="22">
        <v>95</v>
      </c>
      <c r="B96" s="6"/>
      <c r="C96" s="43" t="s">
        <v>429</v>
      </c>
      <c r="D96" s="41" t="s">
        <v>429</v>
      </c>
      <c r="E96" s="41" t="s">
        <v>430</v>
      </c>
      <c r="F96" s="41" t="s">
        <v>431</v>
      </c>
      <c r="G96" s="41" t="s">
        <v>369</v>
      </c>
      <c r="H96" s="4">
        <v>2</v>
      </c>
      <c r="I96" s="41" t="s">
        <v>432</v>
      </c>
      <c r="J96" s="4">
        <f t="shared" si="3"/>
        <v>10</v>
      </c>
      <c r="K96" s="4"/>
      <c r="L96" s="41" t="s">
        <v>1</v>
      </c>
      <c r="M96" s="7"/>
      <c r="N96" s="15" t="s">
        <v>50</v>
      </c>
      <c r="O96" s="14"/>
      <c r="P96" s="32"/>
      <c r="Q96" s="51"/>
      <c r="R96" s="56"/>
    </row>
    <row r="97" spans="1:18">
      <c r="A97" s="22">
        <v>96</v>
      </c>
      <c r="B97" s="23"/>
      <c r="C97" s="43" t="s">
        <v>433</v>
      </c>
      <c r="D97" s="49" t="s">
        <v>434</v>
      </c>
      <c r="E97" s="49" t="s">
        <v>435</v>
      </c>
      <c r="F97" s="49" t="s">
        <v>436</v>
      </c>
      <c r="G97" s="49" t="s">
        <v>437</v>
      </c>
      <c r="H97" s="25">
        <v>4</v>
      </c>
      <c r="I97" s="33" t="s">
        <v>132</v>
      </c>
      <c r="J97" s="25">
        <f t="shared" si="3"/>
        <v>20</v>
      </c>
      <c r="K97" s="25"/>
      <c r="L97" s="49" t="s">
        <v>1</v>
      </c>
      <c r="M97" s="20">
        <v>45087</v>
      </c>
      <c r="N97" s="49" t="s">
        <v>438</v>
      </c>
      <c r="O97" s="72"/>
      <c r="P97" s="32"/>
      <c r="Q97" s="49" t="s">
        <v>433</v>
      </c>
      <c r="R97" s="56">
        <v>25</v>
      </c>
    </row>
    <row r="98" spans="1:18" s="2" customFormat="1" ht="17">
      <c r="A98" s="22">
        <v>97</v>
      </c>
      <c r="B98" s="9"/>
      <c r="C98" s="44" t="s">
        <v>439</v>
      </c>
      <c r="D98" s="45" t="s">
        <v>440</v>
      </c>
      <c r="E98" s="45" t="s">
        <v>441</v>
      </c>
      <c r="F98" s="45" t="s">
        <v>442</v>
      </c>
      <c r="G98" s="45" t="s">
        <v>443</v>
      </c>
      <c r="H98" s="12">
        <v>2</v>
      </c>
      <c r="I98" s="45" t="s">
        <v>444</v>
      </c>
      <c r="J98" s="12">
        <f t="shared" si="3"/>
        <v>10</v>
      </c>
      <c r="K98" s="12"/>
      <c r="L98" s="45" t="s">
        <v>2</v>
      </c>
      <c r="M98" s="10"/>
      <c r="N98" s="16" t="s">
        <v>445</v>
      </c>
      <c r="O98" s="17"/>
      <c r="P98" s="17"/>
      <c r="Q98" s="52"/>
      <c r="R98" s="57"/>
    </row>
    <row r="99" spans="1:18" s="2" customFormat="1">
      <c r="A99" s="22">
        <v>98</v>
      </c>
      <c r="B99" s="9"/>
      <c r="C99" s="44" t="s">
        <v>1243</v>
      </c>
      <c r="D99" s="45" t="s">
        <v>446</v>
      </c>
      <c r="E99" s="45" t="s">
        <v>447</v>
      </c>
      <c r="F99" s="45" t="s">
        <v>448</v>
      </c>
      <c r="G99" s="45" t="s">
        <v>449</v>
      </c>
      <c r="H99" s="12">
        <v>4</v>
      </c>
      <c r="I99" s="45" t="s">
        <v>81</v>
      </c>
      <c r="J99" s="12">
        <f t="shared" si="3"/>
        <v>20</v>
      </c>
      <c r="K99" s="12"/>
      <c r="L99" s="45" t="s">
        <v>2</v>
      </c>
      <c r="M99" s="10"/>
      <c r="N99" s="16" t="s">
        <v>445</v>
      </c>
      <c r="O99" s="17"/>
      <c r="P99" s="17"/>
      <c r="Q99" s="57" t="s">
        <v>1243</v>
      </c>
      <c r="R99" s="57">
        <v>50</v>
      </c>
    </row>
    <row r="100" spans="1:18" s="2" customFormat="1" ht="17">
      <c r="A100" s="22">
        <v>99</v>
      </c>
      <c r="B100" s="9"/>
      <c r="C100" s="44" t="s">
        <v>450</v>
      </c>
      <c r="D100" s="10"/>
      <c r="E100" s="11" t="s">
        <v>451</v>
      </c>
      <c r="F100" s="44" t="s">
        <v>452</v>
      </c>
      <c r="G100" s="10" t="s">
        <v>453</v>
      </c>
      <c r="H100" s="12">
        <v>3</v>
      </c>
      <c r="I100" s="10"/>
      <c r="J100" s="12"/>
      <c r="K100" s="12"/>
      <c r="L100" s="10" t="s">
        <v>1</v>
      </c>
      <c r="M100" s="10"/>
      <c r="N100" s="16" t="s">
        <v>54</v>
      </c>
      <c r="O100" s="17"/>
      <c r="P100" s="17"/>
      <c r="Q100" s="52"/>
      <c r="R100" s="57"/>
    </row>
    <row r="101" spans="1:18">
      <c r="A101" s="22">
        <v>100</v>
      </c>
      <c r="B101" s="23"/>
      <c r="C101" s="43" t="s">
        <v>1253</v>
      </c>
      <c r="D101" s="49" t="s">
        <v>1253</v>
      </c>
      <c r="E101" s="48" t="s">
        <v>1364</v>
      </c>
      <c r="F101" s="49" t="s">
        <v>454</v>
      </c>
      <c r="G101" s="49" t="s">
        <v>455</v>
      </c>
      <c r="H101" s="25">
        <v>2</v>
      </c>
      <c r="I101" s="49" t="s">
        <v>456</v>
      </c>
      <c r="J101" s="25">
        <f t="shared" ref="J101:J134" si="4">5*H101</f>
        <v>10</v>
      </c>
      <c r="K101" s="25">
        <v>20</v>
      </c>
      <c r="L101" s="49" t="s">
        <v>1</v>
      </c>
      <c r="M101" s="24"/>
      <c r="N101" s="49" t="s">
        <v>457</v>
      </c>
      <c r="O101" s="72"/>
      <c r="P101" s="32"/>
      <c r="Q101" s="49" t="s">
        <v>1253</v>
      </c>
      <c r="R101" s="56">
        <v>40</v>
      </c>
    </row>
    <row r="102" spans="1:18" ht="17">
      <c r="A102" s="22">
        <v>101</v>
      </c>
      <c r="B102" s="6"/>
      <c r="C102" s="43" t="s">
        <v>458</v>
      </c>
      <c r="D102" s="41" t="s">
        <v>458</v>
      </c>
      <c r="E102" s="41" t="s">
        <v>459</v>
      </c>
      <c r="F102" s="41" t="s">
        <v>460</v>
      </c>
      <c r="G102" s="41" t="s">
        <v>461</v>
      </c>
      <c r="H102" s="4">
        <v>6</v>
      </c>
      <c r="I102" s="19" t="s">
        <v>462</v>
      </c>
      <c r="J102" s="4">
        <f t="shared" si="4"/>
        <v>30</v>
      </c>
      <c r="K102" s="4"/>
      <c r="L102" s="41" t="s">
        <v>1</v>
      </c>
      <c r="M102" s="7"/>
      <c r="N102" s="15" t="s">
        <v>50</v>
      </c>
      <c r="O102" s="14"/>
      <c r="P102" s="32"/>
      <c r="Q102" s="51"/>
      <c r="R102" s="56"/>
    </row>
    <row r="103" spans="1:18" s="3" customFormat="1" ht="17">
      <c r="A103" s="22">
        <v>102</v>
      </c>
      <c r="B103" s="23"/>
      <c r="C103" s="43" t="s">
        <v>463</v>
      </c>
      <c r="D103" s="49" t="s">
        <v>463</v>
      </c>
      <c r="E103" s="49" t="s">
        <v>464</v>
      </c>
      <c r="F103" s="49" t="s">
        <v>465</v>
      </c>
      <c r="G103" s="49" t="s">
        <v>466</v>
      </c>
      <c r="H103" s="25">
        <v>2</v>
      </c>
      <c r="I103" s="49" t="s">
        <v>467</v>
      </c>
      <c r="J103" s="25">
        <f t="shared" si="4"/>
        <v>10</v>
      </c>
      <c r="K103" s="25"/>
      <c r="L103" s="41" t="s">
        <v>1</v>
      </c>
      <c r="M103" s="49" t="s">
        <v>60</v>
      </c>
      <c r="N103" s="31" t="s">
        <v>54</v>
      </c>
      <c r="O103" s="32"/>
      <c r="P103" s="32"/>
      <c r="Q103" s="51"/>
      <c r="R103" s="56"/>
    </row>
    <row r="104" spans="1:18" s="2" customFormat="1" ht="13" customHeight="1">
      <c r="A104" s="22">
        <v>103</v>
      </c>
      <c r="B104" s="9"/>
      <c r="C104" s="44" t="s">
        <v>468</v>
      </c>
      <c r="D104" s="45" t="s">
        <v>468</v>
      </c>
      <c r="E104" s="45" t="s">
        <v>469</v>
      </c>
      <c r="F104" s="45" t="s">
        <v>470</v>
      </c>
      <c r="G104" s="45" t="s">
        <v>466</v>
      </c>
      <c r="H104" s="12">
        <v>1</v>
      </c>
      <c r="I104" s="29" t="s">
        <v>471</v>
      </c>
      <c r="J104" s="12">
        <f t="shared" si="4"/>
        <v>5</v>
      </c>
      <c r="K104" s="12"/>
      <c r="L104" s="45" t="s">
        <v>2</v>
      </c>
      <c r="M104" s="10"/>
      <c r="N104" s="16" t="s">
        <v>445</v>
      </c>
      <c r="O104" s="17"/>
      <c r="P104" s="17"/>
      <c r="Q104" s="52"/>
      <c r="R104" s="57"/>
    </row>
    <row r="105" spans="1:18" ht="17">
      <c r="A105" s="22">
        <v>104</v>
      </c>
      <c r="B105" s="6"/>
      <c r="C105" s="43" t="s">
        <v>306</v>
      </c>
      <c r="D105" s="41" t="s">
        <v>472</v>
      </c>
      <c r="E105" s="41" t="s">
        <v>134</v>
      </c>
      <c r="F105" s="41" t="s">
        <v>473</v>
      </c>
      <c r="G105" s="41" t="s">
        <v>316</v>
      </c>
      <c r="H105" s="4">
        <v>1</v>
      </c>
      <c r="I105" s="7"/>
      <c r="J105" s="4">
        <f t="shared" si="4"/>
        <v>5</v>
      </c>
      <c r="K105" s="4"/>
      <c r="L105" s="41" t="s">
        <v>2</v>
      </c>
      <c r="M105" s="7"/>
      <c r="N105" s="46" t="s">
        <v>474</v>
      </c>
      <c r="O105" s="14"/>
      <c r="P105" s="32"/>
      <c r="Q105" s="51"/>
      <c r="R105" s="56"/>
    </row>
    <row r="106" spans="1:18" ht="17">
      <c r="A106" s="22">
        <v>105</v>
      </c>
      <c r="B106" s="6"/>
      <c r="C106" s="119" t="s">
        <v>475</v>
      </c>
      <c r="D106" s="41" t="s">
        <v>476</v>
      </c>
      <c r="E106" s="41" t="s">
        <v>134</v>
      </c>
      <c r="F106" s="41" t="s">
        <v>477</v>
      </c>
      <c r="G106" s="41" t="s">
        <v>314</v>
      </c>
      <c r="H106" s="4">
        <v>1</v>
      </c>
      <c r="I106" s="7"/>
      <c r="J106" s="4">
        <f t="shared" si="4"/>
        <v>5</v>
      </c>
      <c r="K106" s="4"/>
      <c r="L106" s="41" t="s">
        <v>2</v>
      </c>
      <c r="M106" s="7"/>
      <c r="N106" s="46" t="s">
        <v>474</v>
      </c>
      <c r="O106" s="14"/>
      <c r="P106" s="32"/>
      <c r="Q106" s="51"/>
      <c r="R106" s="56"/>
    </row>
    <row r="107" spans="1:18" s="2" customFormat="1" ht="17">
      <c r="A107" s="22">
        <v>106</v>
      </c>
      <c r="B107" s="9"/>
      <c r="C107" s="44" t="s">
        <v>478</v>
      </c>
      <c r="D107" s="45" t="s">
        <v>478</v>
      </c>
      <c r="E107" s="45" t="s">
        <v>479</v>
      </c>
      <c r="F107" s="45" t="s">
        <v>480</v>
      </c>
      <c r="G107" s="45" t="s">
        <v>481</v>
      </c>
      <c r="H107" s="12">
        <v>2</v>
      </c>
      <c r="I107" s="45" t="s">
        <v>482</v>
      </c>
      <c r="J107" s="12">
        <f t="shared" si="4"/>
        <v>10</v>
      </c>
      <c r="K107" s="12"/>
      <c r="L107" s="45" t="s">
        <v>2</v>
      </c>
      <c r="M107" s="10"/>
      <c r="N107" s="16" t="s">
        <v>445</v>
      </c>
      <c r="O107" s="17"/>
      <c r="P107" s="17"/>
      <c r="Q107" s="52"/>
      <c r="R107" s="57"/>
    </row>
    <row r="108" spans="1:18">
      <c r="A108" s="22">
        <v>107</v>
      </c>
      <c r="B108" s="23" t="s">
        <v>483</v>
      </c>
      <c r="C108" s="43" t="s">
        <v>1309</v>
      </c>
      <c r="D108" s="49" t="s">
        <v>484</v>
      </c>
      <c r="E108" s="49" t="s">
        <v>485</v>
      </c>
      <c r="F108" s="49" t="s">
        <v>486</v>
      </c>
      <c r="G108" s="49" t="s">
        <v>487</v>
      </c>
      <c r="H108" s="25">
        <v>2</v>
      </c>
      <c r="I108" s="49" t="s">
        <v>488</v>
      </c>
      <c r="J108" s="25">
        <f t="shared" si="4"/>
        <v>10</v>
      </c>
      <c r="K108" s="25"/>
      <c r="L108" s="49" t="s">
        <v>1</v>
      </c>
      <c r="M108" s="49" t="s">
        <v>60</v>
      </c>
      <c r="N108" s="46" t="s">
        <v>489</v>
      </c>
      <c r="O108" s="72"/>
      <c r="P108" s="32"/>
      <c r="Q108" s="56"/>
      <c r="R108" s="56"/>
    </row>
    <row r="109" spans="1:18" ht="17">
      <c r="A109" s="22">
        <v>108</v>
      </c>
      <c r="B109" s="6"/>
      <c r="C109" s="119" t="s">
        <v>490</v>
      </c>
      <c r="D109" s="41" t="s">
        <v>490</v>
      </c>
      <c r="E109" s="41" t="s">
        <v>491</v>
      </c>
      <c r="F109" s="41" t="s">
        <v>492</v>
      </c>
      <c r="G109" s="41" t="s">
        <v>493</v>
      </c>
      <c r="H109" s="4">
        <v>2</v>
      </c>
      <c r="I109" s="41" t="s">
        <v>488</v>
      </c>
      <c r="J109" s="4">
        <f t="shared" si="4"/>
        <v>10</v>
      </c>
      <c r="K109" s="4">
        <v>14</v>
      </c>
      <c r="L109" s="41" t="s">
        <v>1</v>
      </c>
      <c r="M109" s="7"/>
      <c r="N109" s="7"/>
      <c r="O109" s="14"/>
      <c r="P109" s="32"/>
      <c r="Q109" s="51"/>
      <c r="R109" s="56"/>
    </row>
    <row r="110" spans="1:18" ht="17">
      <c r="A110" s="22">
        <v>109</v>
      </c>
      <c r="B110" s="6"/>
      <c r="C110" s="119" t="s">
        <v>494</v>
      </c>
      <c r="D110" s="41" t="s">
        <v>495</v>
      </c>
      <c r="E110" s="41" t="s">
        <v>496</v>
      </c>
      <c r="F110" s="41" t="s">
        <v>497</v>
      </c>
      <c r="G110" s="41" t="s">
        <v>498</v>
      </c>
      <c r="H110" s="4">
        <v>1</v>
      </c>
      <c r="I110" s="7"/>
      <c r="J110" s="4">
        <f t="shared" si="4"/>
        <v>5</v>
      </c>
      <c r="K110" s="4"/>
      <c r="L110" s="41" t="s">
        <v>2</v>
      </c>
      <c r="M110" s="7"/>
      <c r="N110" s="46" t="s">
        <v>474</v>
      </c>
      <c r="O110" s="14"/>
      <c r="P110" s="32"/>
      <c r="Q110" s="51"/>
      <c r="R110" s="56"/>
    </row>
    <row r="111" spans="1:18" ht="17">
      <c r="A111" s="22">
        <v>110</v>
      </c>
      <c r="B111" s="6"/>
      <c r="C111" s="119" t="s">
        <v>494</v>
      </c>
      <c r="D111" s="41" t="s">
        <v>499</v>
      </c>
      <c r="E111" s="41" t="s">
        <v>500</v>
      </c>
      <c r="F111" s="41" t="s">
        <v>501</v>
      </c>
      <c r="G111" s="41" t="s">
        <v>502</v>
      </c>
      <c r="H111" s="4">
        <v>1</v>
      </c>
      <c r="I111" s="7"/>
      <c r="J111" s="4">
        <f t="shared" si="4"/>
        <v>5</v>
      </c>
      <c r="K111" s="4"/>
      <c r="L111" s="41" t="s">
        <v>2</v>
      </c>
      <c r="M111" s="7"/>
      <c r="N111" s="46" t="s">
        <v>474</v>
      </c>
      <c r="O111" s="14"/>
      <c r="P111" s="32"/>
      <c r="Q111" s="51"/>
      <c r="R111" s="56"/>
    </row>
    <row r="112" spans="1:18">
      <c r="A112" s="22">
        <v>111</v>
      </c>
      <c r="B112" s="23"/>
      <c r="C112" s="119" t="s">
        <v>503</v>
      </c>
      <c r="D112" s="49" t="s">
        <v>503</v>
      </c>
      <c r="E112" s="49" t="s">
        <v>504</v>
      </c>
      <c r="F112" s="49" t="s">
        <v>505</v>
      </c>
      <c r="G112" s="49" t="s">
        <v>503</v>
      </c>
      <c r="H112" s="25">
        <v>1</v>
      </c>
      <c r="I112" s="49" t="s">
        <v>256</v>
      </c>
      <c r="J112" s="25">
        <f t="shared" si="4"/>
        <v>5</v>
      </c>
      <c r="K112" s="25"/>
      <c r="L112" s="49" t="s">
        <v>1</v>
      </c>
      <c r="M112" s="24"/>
      <c r="N112" s="49" t="s">
        <v>178</v>
      </c>
      <c r="O112" s="72"/>
      <c r="P112" s="32"/>
      <c r="Q112" s="56" t="s">
        <v>503</v>
      </c>
      <c r="R112" s="56">
        <v>5</v>
      </c>
    </row>
    <row r="113" spans="1:18" ht="17">
      <c r="A113" s="22">
        <v>112</v>
      </c>
      <c r="B113" s="6"/>
      <c r="C113" s="43" t="s">
        <v>506</v>
      </c>
      <c r="D113" s="41" t="s">
        <v>506</v>
      </c>
      <c r="E113" s="41" t="s">
        <v>507</v>
      </c>
      <c r="F113" s="41" t="s">
        <v>508</v>
      </c>
      <c r="G113" s="41" t="s">
        <v>509</v>
      </c>
      <c r="H113" s="4">
        <v>2</v>
      </c>
      <c r="I113" s="41" t="s">
        <v>510</v>
      </c>
      <c r="J113" s="4">
        <f t="shared" si="4"/>
        <v>10</v>
      </c>
      <c r="K113" s="4"/>
      <c r="L113" s="41" t="s">
        <v>216</v>
      </c>
      <c r="M113" s="18"/>
      <c r="N113" s="15" t="s">
        <v>50</v>
      </c>
      <c r="O113" s="14"/>
      <c r="P113" s="32"/>
      <c r="Q113" s="51"/>
      <c r="R113" s="56"/>
    </row>
    <row r="114" spans="1:18" ht="17">
      <c r="A114" s="22">
        <v>113</v>
      </c>
      <c r="B114" s="6"/>
      <c r="C114" s="43" t="s">
        <v>511</v>
      </c>
      <c r="D114" s="41" t="s">
        <v>511</v>
      </c>
      <c r="E114" s="41" t="s">
        <v>512</v>
      </c>
      <c r="F114" s="41" t="s">
        <v>513</v>
      </c>
      <c r="G114" s="41" t="s">
        <v>514</v>
      </c>
      <c r="H114" s="4">
        <v>1</v>
      </c>
      <c r="I114" s="41" t="s">
        <v>510</v>
      </c>
      <c r="J114" s="4">
        <f t="shared" si="4"/>
        <v>5</v>
      </c>
      <c r="K114" s="4"/>
      <c r="L114" s="41" t="s">
        <v>216</v>
      </c>
      <c r="M114" s="7"/>
      <c r="N114" s="15" t="s">
        <v>50</v>
      </c>
      <c r="O114" s="14"/>
      <c r="P114" s="32"/>
      <c r="Q114" s="51"/>
      <c r="R114" s="56"/>
    </row>
    <row r="115" spans="1:18" ht="17">
      <c r="A115" s="22">
        <v>114</v>
      </c>
      <c r="B115" s="6"/>
      <c r="C115" s="119" t="s">
        <v>515</v>
      </c>
      <c r="D115" s="41" t="s">
        <v>515</v>
      </c>
      <c r="E115" s="41" t="s">
        <v>516</v>
      </c>
      <c r="F115" s="41" t="s">
        <v>517</v>
      </c>
      <c r="G115" s="41" t="s">
        <v>518</v>
      </c>
      <c r="H115" s="4">
        <v>6</v>
      </c>
      <c r="I115" s="41" t="s">
        <v>519</v>
      </c>
      <c r="J115" s="4">
        <f t="shared" si="4"/>
        <v>30</v>
      </c>
      <c r="K115" s="4"/>
      <c r="L115" s="41" t="s">
        <v>1</v>
      </c>
      <c r="M115" s="7"/>
      <c r="N115" s="15" t="s">
        <v>50</v>
      </c>
      <c r="O115" s="14"/>
      <c r="P115" s="32"/>
      <c r="Q115" s="51"/>
      <c r="R115" s="56"/>
    </row>
    <row r="116" spans="1:18" ht="17">
      <c r="A116" s="22">
        <v>115</v>
      </c>
      <c r="B116" s="6"/>
      <c r="C116" s="119" t="s">
        <v>494</v>
      </c>
      <c r="D116" s="41" t="s">
        <v>520</v>
      </c>
      <c r="E116" s="41" t="s">
        <v>134</v>
      </c>
      <c r="F116" s="41" t="s">
        <v>521</v>
      </c>
      <c r="G116" s="41" t="s">
        <v>522</v>
      </c>
      <c r="H116" s="4">
        <v>4</v>
      </c>
      <c r="I116" s="7"/>
      <c r="J116" s="4">
        <f t="shared" si="4"/>
        <v>20</v>
      </c>
      <c r="K116" s="4"/>
      <c r="L116" s="41" t="s">
        <v>2</v>
      </c>
      <c r="M116" s="7"/>
      <c r="N116" s="46" t="s">
        <v>474</v>
      </c>
      <c r="O116" s="14"/>
      <c r="P116" s="32"/>
      <c r="Q116" s="51"/>
      <c r="R116" s="56"/>
    </row>
    <row r="117" spans="1:18" ht="17">
      <c r="A117" s="22">
        <v>116</v>
      </c>
      <c r="B117" s="6"/>
      <c r="C117" s="119" t="s">
        <v>494</v>
      </c>
      <c r="D117" s="41" t="s">
        <v>523</v>
      </c>
      <c r="E117" s="41" t="s">
        <v>524</v>
      </c>
      <c r="F117" s="41" t="s">
        <v>525</v>
      </c>
      <c r="G117" s="41" t="s">
        <v>526</v>
      </c>
      <c r="H117" s="4">
        <v>2</v>
      </c>
      <c r="I117" s="7"/>
      <c r="J117" s="4">
        <f t="shared" si="4"/>
        <v>10</v>
      </c>
      <c r="K117" s="4"/>
      <c r="L117" s="41" t="s">
        <v>2</v>
      </c>
      <c r="M117" s="7"/>
      <c r="N117" s="46" t="s">
        <v>474</v>
      </c>
      <c r="O117" s="14"/>
      <c r="P117" s="32"/>
      <c r="Q117" s="51"/>
      <c r="R117" s="56"/>
    </row>
    <row r="118" spans="1:18" ht="17">
      <c r="A118" s="22">
        <v>117</v>
      </c>
      <c r="B118" s="6"/>
      <c r="C118" s="43" t="s">
        <v>527</v>
      </c>
      <c r="D118" s="41" t="s">
        <v>527</v>
      </c>
      <c r="E118" s="41" t="s">
        <v>528</v>
      </c>
      <c r="F118" s="41" t="s">
        <v>529</v>
      </c>
      <c r="G118" s="41" t="s">
        <v>530</v>
      </c>
      <c r="H118" s="4">
        <v>14</v>
      </c>
      <c r="I118" s="41" t="s">
        <v>256</v>
      </c>
      <c r="J118" s="4">
        <f t="shared" si="4"/>
        <v>70</v>
      </c>
      <c r="K118" s="4"/>
      <c r="L118" s="41" t="s">
        <v>1</v>
      </c>
      <c r="M118" s="7"/>
      <c r="N118" s="15" t="s">
        <v>50</v>
      </c>
      <c r="O118" s="14"/>
      <c r="P118" s="32"/>
      <c r="Q118" s="51"/>
      <c r="R118" s="56"/>
    </row>
    <row r="119" spans="1:18">
      <c r="A119" s="22">
        <v>118</v>
      </c>
      <c r="B119" s="23" t="s">
        <v>531</v>
      </c>
      <c r="C119" s="43" t="s">
        <v>532</v>
      </c>
      <c r="D119" s="49" t="s">
        <v>532</v>
      </c>
      <c r="E119" s="49" t="s">
        <v>533</v>
      </c>
      <c r="F119" s="49" t="s">
        <v>534</v>
      </c>
      <c r="G119" s="49" t="s">
        <v>535</v>
      </c>
      <c r="H119" s="25">
        <v>1</v>
      </c>
      <c r="I119" s="49" t="s">
        <v>536</v>
      </c>
      <c r="J119" s="25">
        <f t="shared" si="4"/>
        <v>5</v>
      </c>
      <c r="K119" s="25"/>
      <c r="L119" s="49" t="s">
        <v>1</v>
      </c>
      <c r="M119" s="24"/>
      <c r="N119" s="49" t="s">
        <v>178</v>
      </c>
      <c r="O119" s="72"/>
      <c r="P119" s="32"/>
      <c r="Q119" s="56" t="s">
        <v>1264</v>
      </c>
      <c r="R119" s="56">
        <v>5</v>
      </c>
    </row>
    <row r="120" spans="1:18" ht="17">
      <c r="A120" s="22">
        <v>119</v>
      </c>
      <c r="B120" s="6"/>
      <c r="C120" s="43" t="s">
        <v>537</v>
      </c>
      <c r="D120" s="41" t="s">
        <v>537</v>
      </c>
      <c r="E120" s="41" t="s">
        <v>538</v>
      </c>
      <c r="F120" s="41" t="s">
        <v>539</v>
      </c>
      <c r="G120" s="41" t="s">
        <v>540</v>
      </c>
      <c r="H120" s="4">
        <v>1</v>
      </c>
      <c r="I120" s="19" t="s">
        <v>541</v>
      </c>
      <c r="J120" s="4">
        <f t="shared" si="4"/>
        <v>5</v>
      </c>
      <c r="K120" s="4"/>
      <c r="L120" s="41" t="s">
        <v>1</v>
      </c>
      <c r="M120" s="7"/>
      <c r="N120" s="15" t="s">
        <v>50</v>
      </c>
      <c r="O120" s="14"/>
      <c r="P120" s="32"/>
      <c r="Q120" s="51"/>
      <c r="R120" s="56"/>
    </row>
    <row r="121" spans="1:18" s="2" customFormat="1" ht="17">
      <c r="A121" s="22">
        <v>120</v>
      </c>
      <c r="B121" s="9"/>
      <c r="C121" s="44" t="s">
        <v>542</v>
      </c>
      <c r="D121" s="45" t="s">
        <v>542</v>
      </c>
      <c r="E121" s="45" t="s">
        <v>134</v>
      </c>
      <c r="F121" s="45" t="s">
        <v>543</v>
      </c>
      <c r="G121" s="45" t="s">
        <v>544</v>
      </c>
      <c r="H121" s="12">
        <v>4</v>
      </c>
      <c r="I121" s="10"/>
      <c r="J121" s="12">
        <f t="shared" si="4"/>
        <v>20</v>
      </c>
      <c r="K121" s="12"/>
      <c r="L121" s="45" t="s">
        <v>2</v>
      </c>
      <c r="M121" s="10"/>
      <c r="N121" s="16" t="s">
        <v>445</v>
      </c>
      <c r="O121" s="17"/>
      <c r="P121" s="17"/>
      <c r="Q121" s="52"/>
      <c r="R121" s="57"/>
    </row>
    <row r="122" spans="1:18">
      <c r="A122" s="22">
        <v>121</v>
      </c>
      <c r="B122" s="23"/>
      <c r="C122" s="43" t="s">
        <v>545</v>
      </c>
      <c r="D122" s="49" t="s">
        <v>545</v>
      </c>
      <c r="E122" s="49" t="s">
        <v>546</v>
      </c>
      <c r="F122" s="49" t="s">
        <v>547</v>
      </c>
      <c r="G122" s="49" t="s">
        <v>544</v>
      </c>
      <c r="H122" s="25">
        <v>2</v>
      </c>
      <c r="I122" s="24"/>
      <c r="J122" s="25">
        <f t="shared" si="4"/>
        <v>10</v>
      </c>
      <c r="K122" s="25">
        <v>30</v>
      </c>
      <c r="L122" s="49" t="s">
        <v>1</v>
      </c>
      <c r="M122" s="24"/>
      <c r="N122" s="49" t="s">
        <v>28</v>
      </c>
      <c r="O122" s="72"/>
      <c r="P122" s="32"/>
      <c r="Q122" s="49" t="s">
        <v>545</v>
      </c>
      <c r="R122" s="56">
        <v>20</v>
      </c>
    </row>
    <row r="123" spans="1:18" ht="17">
      <c r="A123" s="22">
        <v>122</v>
      </c>
      <c r="B123" s="6"/>
      <c r="C123" s="43" t="s">
        <v>548</v>
      </c>
      <c r="D123" s="41" t="s">
        <v>549</v>
      </c>
      <c r="E123" s="41" t="s">
        <v>550</v>
      </c>
      <c r="F123" s="41" t="s">
        <v>551</v>
      </c>
      <c r="G123" s="41" t="s">
        <v>552</v>
      </c>
      <c r="H123" s="4">
        <v>4</v>
      </c>
      <c r="I123" s="41" t="s">
        <v>408</v>
      </c>
      <c r="J123" s="4">
        <f t="shared" si="4"/>
        <v>20</v>
      </c>
      <c r="K123" s="4"/>
      <c r="L123" s="41" t="s">
        <v>1</v>
      </c>
      <c r="M123" s="41" t="s">
        <v>60</v>
      </c>
      <c r="N123" s="15" t="s">
        <v>50</v>
      </c>
      <c r="O123" s="14"/>
      <c r="P123" s="32"/>
      <c r="Q123" s="51"/>
      <c r="R123" s="56"/>
    </row>
    <row r="124" spans="1:18" ht="17">
      <c r="A124" s="22">
        <v>123</v>
      </c>
      <c r="B124" s="6"/>
      <c r="C124" s="43" t="s">
        <v>553</v>
      </c>
      <c r="D124" s="41" t="s">
        <v>553</v>
      </c>
      <c r="E124" s="41" t="s">
        <v>554</v>
      </c>
      <c r="F124" s="41" t="s">
        <v>555</v>
      </c>
      <c r="G124" s="41" t="s">
        <v>407</v>
      </c>
      <c r="H124" s="4">
        <v>6</v>
      </c>
      <c r="I124" s="41" t="s">
        <v>556</v>
      </c>
      <c r="J124" s="4">
        <f t="shared" si="4"/>
        <v>30</v>
      </c>
      <c r="K124" s="4"/>
      <c r="L124" s="41" t="s">
        <v>1</v>
      </c>
      <c r="M124" s="7"/>
      <c r="N124" s="15" t="s">
        <v>50</v>
      </c>
      <c r="O124" s="14"/>
      <c r="P124" s="32"/>
      <c r="Q124" s="51"/>
      <c r="R124" s="56"/>
    </row>
    <row r="125" spans="1:18">
      <c r="A125" s="22">
        <v>124</v>
      </c>
      <c r="B125" s="23"/>
      <c r="C125" s="119" t="s">
        <v>1255</v>
      </c>
      <c r="D125" s="49" t="s">
        <v>557</v>
      </c>
      <c r="E125" s="49" t="s">
        <v>546</v>
      </c>
      <c r="F125" s="49" t="s">
        <v>558</v>
      </c>
      <c r="G125" s="49" t="s">
        <v>544</v>
      </c>
      <c r="H125" s="25">
        <v>4</v>
      </c>
      <c r="I125" s="24"/>
      <c r="J125" s="25">
        <f t="shared" si="4"/>
        <v>20</v>
      </c>
      <c r="K125" s="25">
        <v>10</v>
      </c>
      <c r="L125" s="49" t="s">
        <v>1</v>
      </c>
      <c r="M125" s="24"/>
      <c r="N125" s="46" t="s">
        <v>559</v>
      </c>
      <c r="O125" s="72"/>
      <c r="P125" s="32"/>
      <c r="Q125" s="23" t="s">
        <v>1255</v>
      </c>
      <c r="R125" s="56">
        <v>25</v>
      </c>
    </row>
    <row r="126" spans="1:18" ht="17">
      <c r="A126" s="22">
        <v>125</v>
      </c>
      <c r="B126" s="6"/>
      <c r="C126" s="43" t="s">
        <v>560</v>
      </c>
      <c r="D126" s="41" t="s">
        <v>560</v>
      </c>
      <c r="E126" s="41" t="s">
        <v>561</v>
      </c>
      <c r="F126" s="41" t="s">
        <v>562</v>
      </c>
      <c r="G126" s="41" t="s">
        <v>412</v>
      </c>
      <c r="H126" s="4">
        <v>8</v>
      </c>
      <c r="I126" s="41" t="s">
        <v>360</v>
      </c>
      <c r="J126" s="4">
        <f t="shared" si="4"/>
        <v>40</v>
      </c>
      <c r="K126" s="4"/>
      <c r="L126" s="41" t="s">
        <v>1</v>
      </c>
      <c r="M126" s="7"/>
      <c r="N126" s="15" t="s">
        <v>50</v>
      </c>
      <c r="O126" s="14"/>
      <c r="P126" s="32"/>
      <c r="Q126" s="51"/>
      <c r="R126" s="56"/>
    </row>
    <row r="127" spans="1:18">
      <c r="A127" s="22">
        <v>126</v>
      </c>
      <c r="B127" s="23"/>
      <c r="C127" s="43" t="s">
        <v>563</v>
      </c>
      <c r="D127" s="49" t="s">
        <v>563</v>
      </c>
      <c r="E127" s="49" t="s">
        <v>546</v>
      </c>
      <c r="F127" s="49" t="s">
        <v>564</v>
      </c>
      <c r="G127" s="49" t="s">
        <v>544</v>
      </c>
      <c r="H127" s="25">
        <v>4</v>
      </c>
      <c r="I127" s="24"/>
      <c r="J127" s="25">
        <f t="shared" si="4"/>
        <v>20</v>
      </c>
      <c r="K127" s="25">
        <v>10</v>
      </c>
      <c r="L127" s="49" t="s">
        <v>1</v>
      </c>
      <c r="M127" s="24"/>
      <c r="N127" s="46" t="s">
        <v>1254</v>
      </c>
      <c r="O127" s="72"/>
      <c r="P127" s="32"/>
      <c r="Q127" s="49" t="s">
        <v>563</v>
      </c>
      <c r="R127" s="56">
        <v>20</v>
      </c>
    </row>
    <row r="128" spans="1:18">
      <c r="A128" s="22">
        <v>127</v>
      </c>
      <c r="B128" s="23"/>
      <c r="C128" s="43" t="s">
        <v>565</v>
      </c>
      <c r="D128" s="49" t="s">
        <v>565</v>
      </c>
      <c r="E128" s="49" t="s">
        <v>566</v>
      </c>
      <c r="F128" s="49" t="s">
        <v>567</v>
      </c>
      <c r="G128" s="49" t="s">
        <v>568</v>
      </c>
      <c r="H128" s="25">
        <v>6</v>
      </c>
      <c r="I128" s="49" t="s">
        <v>569</v>
      </c>
      <c r="J128" s="25">
        <f t="shared" si="4"/>
        <v>30</v>
      </c>
      <c r="K128" s="25"/>
      <c r="L128" s="49" t="s">
        <v>1</v>
      </c>
      <c r="M128" s="24"/>
      <c r="N128" s="49" t="s">
        <v>1247</v>
      </c>
      <c r="O128" s="72"/>
      <c r="P128" s="32"/>
      <c r="Q128" s="56" t="s">
        <v>1248</v>
      </c>
      <c r="R128" s="56">
        <v>30</v>
      </c>
    </row>
    <row r="129" spans="1:18" ht="17">
      <c r="A129" s="22">
        <v>128</v>
      </c>
      <c r="B129" s="6"/>
      <c r="C129" s="43" t="s">
        <v>570</v>
      </c>
      <c r="D129" s="41" t="s">
        <v>570</v>
      </c>
      <c r="E129" s="41" t="s">
        <v>571</v>
      </c>
      <c r="F129" s="41" t="s">
        <v>572</v>
      </c>
      <c r="G129" s="41" t="s">
        <v>573</v>
      </c>
      <c r="H129" s="4">
        <v>2</v>
      </c>
      <c r="I129" s="19" t="s">
        <v>569</v>
      </c>
      <c r="J129" s="4">
        <f t="shared" si="4"/>
        <v>10</v>
      </c>
      <c r="K129" s="4"/>
      <c r="L129" s="41" t="s">
        <v>1</v>
      </c>
      <c r="M129" s="41" t="s">
        <v>60</v>
      </c>
      <c r="N129" s="15" t="s">
        <v>50</v>
      </c>
      <c r="O129" s="14"/>
      <c r="P129" s="32"/>
      <c r="Q129" s="51"/>
      <c r="R129" s="56"/>
    </row>
    <row r="130" spans="1:18">
      <c r="A130" s="22">
        <v>129</v>
      </c>
      <c r="B130" s="23"/>
      <c r="C130" s="43" t="s">
        <v>574</v>
      </c>
      <c r="D130" s="49" t="s">
        <v>574</v>
      </c>
      <c r="E130" s="49" t="s">
        <v>575</v>
      </c>
      <c r="F130" s="49" t="s">
        <v>576</v>
      </c>
      <c r="G130" s="49" t="s">
        <v>577</v>
      </c>
      <c r="H130" s="25">
        <v>6</v>
      </c>
      <c r="I130" s="33" t="s">
        <v>360</v>
      </c>
      <c r="J130" s="25">
        <f t="shared" si="4"/>
        <v>30</v>
      </c>
      <c r="K130" s="25"/>
      <c r="L130" s="49" t="s">
        <v>1</v>
      </c>
      <c r="M130" s="24"/>
      <c r="N130" s="49" t="s">
        <v>209</v>
      </c>
      <c r="O130" s="72"/>
      <c r="P130" s="32"/>
      <c r="Q130" s="49" t="s">
        <v>574</v>
      </c>
      <c r="R130" s="56" t="s">
        <v>1265</v>
      </c>
    </row>
    <row r="131" spans="1:18" s="3" customFormat="1" ht="17">
      <c r="A131" s="22">
        <v>130</v>
      </c>
      <c r="B131" s="23"/>
      <c r="C131" s="43" t="s">
        <v>578</v>
      </c>
      <c r="D131" s="49" t="s">
        <v>578</v>
      </c>
      <c r="E131" s="49" t="s">
        <v>579</v>
      </c>
      <c r="F131" s="49" t="s">
        <v>580</v>
      </c>
      <c r="G131" s="49" t="s">
        <v>581</v>
      </c>
      <c r="H131" s="25">
        <v>1</v>
      </c>
      <c r="I131" s="49" t="s">
        <v>582</v>
      </c>
      <c r="J131" s="25">
        <f t="shared" si="4"/>
        <v>5</v>
      </c>
      <c r="K131" s="25"/>
      <c r="L131" s="41" t="s">
        <v>1</v>
      </c>
      <c r="M131" s="24"/>
      <c r="N131" s="15" t="s">
        <v>50</v>
      </c>
      <c r="O131" s="32"/>
      <c r="P131" s="32"/>
      <c r="Q131" s="51"/>
      <c r="R131" s="56"/>
    </row>
    <row r="132" spans="1:18" ht="17">
      <c r="A132" s="22">
        <v>131</v>
      </c>
      <c r="B132" s="6"/>
      <c r="C132" s="43" t="s">
        <v>583</v>
      </c>
      <c r="D132" s="41" t="s">
        <v>583</v>
      </c>
      <c r="E132" s="41" t="s">
        <v>584</v>
      </c>
      <c r="F132" s="41" t="s">
        <v>585</v>
      </c>
      <c r="G132" s="41" t="s">
        <v>568</v>
      </c>
      <c r="H132" s="4">
        <v>1</v>
      </c>
      <c r="I132" s="41" t="s">
        <v>408</v>
      </c>
      <c r="J132" s="4">
        <f t="shared" si="4"/>
        <v>5</v>
      </c>
      <c r="K132" s="4"/>
      <c r="L132" s="41" t="s">
        <v>1</v>
      </c>
      <c r="M132" s="7"/>
      <c r="N132" s="15" t="s">
        <v>50</v>
      </c>
      <c r="O132" s="14"/>
      <c r="P132" s="32"/>
      <c r="Q132" s="51"/>
      <c r="R132" s="56"/>
    </row>
    <row r="133" spans="1:18" ht="17">
      <c r="A133" s="22">
        <v>132</v>
      </c>
      <c r="B133" s="6"/>
      <c r="C133" s="43" t="s">
        <v>586</v>
      </c>
      <c r="D133" s="41" t="s">
        <v>586</v>
      </c>
      <c r="E133" s="41" t="s">
        <v>587</v>
      </c>
      <c r="F133" s="41" t="s">
        <v>588</v>
      </c>
      <c r="G133" s="41" t="s">
        <v>589</v>
      </c>
      <c r="H133" s="4">
        <v>2</v>
      </c>
      <c r="I133" s="41" t="s">
        <v>360</v>
      </c>
      <c r="J133" s="4">
        <f t="shared" si="4"/>
        <v>10</v>
      </c>
      <c r="K133" s="4"/>
      <c r="L133" s="41" t="s">
        <v>1</v>
      </c>
      <c r="M133" s="7"/>
      <c r="N133" s="15" t="s">
        <v>50</v>
      </c>
      <c r="O133" s="14"/>
      <c r="P133" s="32"/>
      <c r="Q133" s="51"/>
      <c r="R133" s="56"/>
    </row>
    <row r="134" spans="1:18" ht="17">
      <c r="A134" s="22">
        <v>133</v>
      </c>
      <c r="B134" s="6"/>
      <c r="C134" s="43" t="s">
        <v>590</v>
      </c>
      <c r="D134" s="41" t="s">
        <v>590</v>
      </c>
      <c r="E134" s="41" t="s">
        <v>591</v>
      </c>
      <c r="F134" s="41" t="s">
        <v>592</v>
      </c>
      <c r="G134" s="41" t="s">
        <v>589</v>
      </c>
      <c r="H134" s="4">
        <v>11</v>
      </c>
      <c r="I134" s="19" t="s">
        <v>360</v>
      </c>
      <c r="J134" s="4">
        <f t="shared" si="4"/>
        <v>55</v>
      </c>
      <c r="K134" s="4"/>
      <c r="L134" s="41" t="s">
        <v>1</v>
      </c>
      <c r="M134" s="7"/>
      <c r="N134" s="15" t="s">
        <v>50</v>
      </c>
      <c r="O134" s="14"/>
      <c r="P134" s="32"/>
      <c r="Q134" s="51"/>
      <c r="R134" s="56"/>
    </row>
    <row r="135" spans="1:18" ht="14" customHeight="1">
      <c r="A135" s="22">
        <v>134</v>
      </c>
      <c r="B135" s="6"/>
      <c r="C135" s="43" t="s">
        <v>593</v>
      </c>
      <c r="D135" s="41" t="s">
        <v>593</v>
      </c>
      <c r="E135" s="42" t="s">
        <v>594</v>
      </c>
      <c r="F135" s="41" t="s">
        <v>595</v>
      </c>
      <c r="G135" s="41" t="s">
        <v>589</v>
      </c>
      <c r="H135" s="4">
        <v>2</v>
      </c>
      <c r="I135" s="19" t="s">
        <v>360</v>
      </c>
      <c r="J135" s="4">
        <f t="shared" ref="J135:J166" si="5">5*H135</f>
        <v>10</v>
      </c>
      <c r="K135" s="4"/>
      <c r="L135" s="41" t="s">
        <v>1</v>
      </c>
      <c r="M135" s="7"/>
      <c r="N135" s="15" t="s">
        <v>50</v>
      </c>
      <c r="O135" s="14"/>
      <c r="P135" s="32"/>
      <c r="Q135" s="51"/>
      <c r="R135" s="56"/>
    </row>
    <row r="136" spans="1:18">
      <c r="A136" s="22">
        <v>135</v>
      </c>
      <c r="B136" s="23"/>
      <c r="C136" s="43" t="s">
        <v>596</v>
      </c>
      <c r="D136" s="49" t="s">
        <v>1241</v>
      </c>
      <c r="E136" s="49" t="s">
        <v>597</v>
      </c>
      <c r="F136" s="49" t="s">
        <v>598</v>
      </c>
      <c r="G136" s="49" t="s">
        <v>599</v>
      </c>
      <c r="H136" s="25">
        <v>1</v>
      </c>
      <c r="I136" s="33" t="s">
        <v>360</v>
      </c>
      <c r="J136" s="25">
        <f t="shared" si="5"/>
        <v>5</v>
      </c>
      <c r="K136" s="25"/>
      <c r="L136" s="49" t="s">
        <v>1</v>
      </c>
      <c r="M136" s="24"/>
      <c r="N136" s="49" t="s">
        <v>600</v>
      </c>
      <c r="O136" s="72"/>
      <c r="P136" s="32"/>
      <c r="Q136" s="56" t="s">
        <v>1242</v>
      </c>
      <c r="R136" s="56">
        <v>10</v>
      </c>
    </row>
    <row r="137" spans="1:18">
      <c r="A137" s="22">
        <v>136</v>
      </c>
      <c r="B137" s="23"/>
      <c r="C137" s="43" t="s">
        <v>601</v>
      </c>
      <c r="D137" s="49" t="s">
        <v>601</v>
      </c>
      <c r="E137" s="49" t="s">
        <v>602</v>
      </c>
      <c r="F137" s="49" t="s">
        <v>603</v>
      </c>
      <c r="G137" s="49" t="s">
        <v>577</v>
      </c>
      <c r="H137" s="25">
        <v>1</v>
      </c>
      <c r="I137" s="33" t="s">
        <v>360</v>
      </c>
      <c r="J137" s="25">
        <f t="shared" si="5"/>
        <v>5</v>
      </c>
      <c r="K137" s="25"/>
      <c r="L137" s="49" t="s">
        <v>1</v>
      </c>
      <c r="M137" s="24"/>
      <c r="N137" s="49" t="s">
        <v>209</v>
      </c>
      <c r="O137" s="72"/>
      <c r="P137" s="32"/>
      <c r="Q137" s="56" t="s">
        <v>1266</v>
      </c>
      <c r="R137" s="56">
        <v>5</v>
      </c>
    </row>
    <row r="138" spans="1:18" s="3" customFormat="1" ht="17">
      <c r="A138" s="22">
        <v>137</v>
      </c>
      <c r="B138" s="23"/>
      <c r="C138" s="43" t="s">
        <v>604</v>
      </c>
      <c r="D138" s="49" t="s">
        <v>604</v>
      </c>
      <c r="E138" s="49" t="s">
        <v>605</v>
      </c>
      <c r="F138" s="49" t="s">
        <v>606</v>
      </c>
      <c r="G138" s="49" t="s">
        <v>581</v>
      </c>
      <c r="H138" s="25">
        <v>1</v>
      </c>
      <c r="I138" s="33" t="s">
        <v>607</v>
      </c>
      <c r="J138" s="25">
        <f t="shared" si="5"/>
        <v>5</v>
      </c>
      <c r="K138" s="25"/>
      <c r="L138" s="49" t="s">
        <v>2</v>
      </c>
      <c r="M138" s="49" t="s">
        <v>60</v>
      </c>
      <c r="N138" s="34" t="s">
        <v>50</v>
      </c>
      <c r="O138" s="32"/>
      <c r="P138" s="32"/>
      <c r="Q138" s="51"/>
      <c r="R138" s="56"/>
    </row>
    <row r="139" spans="1:18">
      <c r="A139" s="22">
        <v>138</v>
      </c>
      <c r="B139" s="6"/>
      <c r="C139" s="8" t="s">
        <v>608</v>
      </c>
      <c r="D139" s="7" t="s">
        <v>608</v>
      </c>
      <c r="E139" s="41" t="s">
        <v>609</v>
      </c>
      <c r="F139" s="41" t="s">
        <v>610</v>
      </c>
      <c r="G139" s="41" t="s">
        <v>611</v>
      </c>
      <c r="H139" s="4">
        <v>3</v>
      </c>
      <c r="I139" s="19" t="s">
        <v>102</v>
      </c>
      <c r="J139" s="4">
        <f t="shared" si="5"/>
        <v>15</v>
      </c>
      <c r="K139" s="4"/>
      <c r="L139" s="41" t="s">
        <v>1</v>
      </c>
      <c r="M139" s="7"/>
      <c r="N139" s="15" t="s">
        <v>50</v>
      </c>
      <c r="O139" s="35"/>
      <c r="P139" s="32"/>
      <c r="Q139" s="54"/>
      <c r="R139" s="56"/>
    </row>
    <row r="140" spans="1:18" ht="17">
      <c r="A140" s="22">
        <v>139</v>
      </c>
      <c r="B140" s="6"/>
      <c r="C140" s="43" t="s">
        <v>612</v>
      </c>
      <c r="D140" s="41" t="s">
        <v>613</v>
      </c>
      <c r="E140" s="41" t="s">
        <v>614</v>
      </c>
      <c r="F140" s="41" t="s">
        <v>615</v>
      </c>
      <c r="G140" s="41" t="s">
        <v>616</v>
      </c>
      <c r="H140" s="4">
        <v>1</v>
      </c>
      <c r="I140" s="19" t="s">
        <v>102</v>
      </c>
      <c r="J140" s="4">
        <f t="shared" si="5"/>
        <v>5</v>
      </c>
      <c r="K140" s="4"/>
      <c r="L140" s="41" t="s">
        <v>1</v>
      </c>
      <c r="M140" s="7"/>
      <c r="N140" s="15" t="s">
        <v>50</v>
      </c>
      <c r="O140" s="14"/>
      <c r="P140" s="32"/>
      <c r="Q140" s="51"/>
      <c r="R140" s="56"/>
    </row>
    <row r="141" spans="1:18" ht="17">
      <c r="A141" s="22">
        <v>140</v>
      </c>
      <c r="B141" s="6"/>
      <c r="C141" s="43" t="s">
        <v>617</v>
      </c>
      <c r="D141" s="41" t="s">
        <v>618</v>
      </c>
      <c r="E141" s="41" t="s">
        <v>619</v>
      </c>
      <c r="F141" s="41" t="s">
        <v>620</v>
      </c>
      <c r="G141" s="41" t="s">
        <v>616</v>
      </c>
      <c r="H141" s="4">
        <v>4</v>
      </c>
      <c r="I141" s="19" t="s">
        <v>102</v>
      </c>
      <c r="J141" s="4">
        <f t="shared" si="5"/>
        <v>20</v>
      </c>
      <c r="K141" s="4"/>
      <c r="L141" s="41" t="s">
        <v>1</v>
      </c>
      <c r="M141" s="7"/>
      <c r="N141" s="15" t="s">
        <v>50</v>
      </c>
      <c r="O141" s="14"/>
      <c r="P141" s="32"/>
      <c r="Q141" s="51"/>
      <c r="R141" s="56"/>
    </row>
    <row r="142" spans="1:18">
      <c r="A142" s="22">
        <v>141</v>
      </c>
      <c r="B142" s="23" t="s">
        <v>621</v>
      </c>
      <c r="C142" s="43" t="s">
        <v>622</v>
      </c>
      <c r="D142" s="49" t="s">
        <v>623</v>
      </c>
      <c r="E142" s="49" t="s">
        <v>624</v>
      </c>
      <c r="F142" s="49" t="s">
        <v>625</v>
      </c>
      <c r="G142" s="49" t="s">
        <v>626</v>
      </c>
      <c r="H142" s="25">
        <v>39</v>
      </c>
      <c r="I142" s="49" t="s">
        <v>627</v>
      </c>
      <c r="J142" s="25">
        <f t="shared" si="5"/>
        <v>195</v>
      </c>
      <c r="K142" s="25">
        <v>200</v>
      </c>
      <c r="L142" s="49" t="s">
        <v>1</v>
      </c>
      <c r="M142" s="24"/>
      <c r="N142" s="46" t="s">
        <v>222</v>
      </c>
      <c r="O142" s="72"/>
      <c r="P142" s="32"/>
      <c r="Q142" s="49" t="s">
        <v>622</v>
      </c>
      <c r="R142" s="56">
        <v>220</v>
      </c>
    </row>
    <row r="143" spans="1:18">
      <c r="A143" s="22">
        <v>142</v>
      </c>
      <c r="B143" s="23" t="s">
        <v>628</v>
      </c>
      <c r="C143" s="43" t="s">
        <v>629</v>
      </c>
      <c r="D143" s="49" t="s">
        <v>630</v>
      </c>
      <c r="E143" s="49" t="s">
        <v>631</v>
      </c>
      <c r="F143" s="49" t="s">
        <v>632</v>
      </c>
      <c r="G143" s="49" t="s">
        <v>626</v>
      </c>
      <c r="H143" s="25">
        <v>75</v>
      </c>
      <c r="I143" s="49" t="s">
        <v>102</v>
      </c>
      <c r="J143" s="25">
        <f t="shared" si="5"/>
        <v>375</v>
      </c>
      <c r="K143" s="25"/>
      <c r="L143" s="49" t="s">
        <v>1330</v>
      </c>
      <c r="M143" s="24"/>
      <c r="N143" s="49" t="s">
        <v>633</v>
      </c>
      <c r="O143" s="72"/>
      <c r="P143" s="32"/>
      <c r="Q143" s="70" t="s">
        <v>629</v>
      </c>
      <c r="R143" s="58">
        <v>220</v>
      </c>
    </row>
    <row r="144" spans="1:18" ht="17">
      <c r="A144" s="22">
        <v>143</v>
      </c>
      <c r="B144" s="6"/>
      <c r="C144" s="43" t="s">
        <v>634</v>
      </c>
      <c r="D144" s="41" t="s">
        <v>635</v>
      </c>
      <c r="E144" s="41" t="s">
        <v>636</v>
      </c>
      <c r="F144" s="41" t="s">
        <v>637</v>
      </c>
      <c r="G144" s="41" t="s">
        <v>638</v>
      </c>
      <c r="H144" s="4">
        <v>22</v>
      </c>
      <c r="I144" s="41" t="s">
        <v>639</v>
      </c>
      <c r="J144" s="4">
        <f t="shared" si="5"/>
        <v>110</v>
      </c>
      <c r="K144" s="4"/>
      <c r="L144" s="41" t="s">
        <v>1</v>
      </c>
      <c r="M144" s="7"/>
      <c r="N144" s="15" t="s">
        <v>50</v>
      </c>
      <c r="O144" s="14"/>
      <c r="P144" s="32"/>
      <c r="Q144" s="51"/>
      <c r="R144" s="56"/>
    </row>
    <row r="145" spans="1:18" ht="17">
      <c r="A145" s="22">
        <v>144</v>
      </c>
      <c r="B145" s="6"/>
      <c r="C145" s="43" t="s">
        <v>640</v>
      </c>
      <c r="D145" s="41" t="s">
        <v>641</v>
      </c>
      <c r="E145" s="41" t="s">
        <v>642</v>
      </c>
      <c r="F145" s="41" t="s">
        <v>643</v>
      </c>
      <c r="G145" s="41" t="s">
        <v>638</v>
      </c>
      <c r="H145" s="4">
        <v>7</v>
      </c>
      <c r="I145" s="41" t="s">
        <v>102</v>
      </c>
      <c r="J145" s="4">
        <f t="shared" si="5"/>
        <v>35</v>
      </c>
      <c r="K145" s="4"/>
      <c r="L145" s="41" t="s">
        <v>1</v>
      </c>
      <c r="M145" s="7"/>
      <c r="N145" s="15" t="s">
        <v>50</v>
      </c>
      <c r="O145" s="14"/>
      <c r="P145" s="32"/>
      <c r="Q145" s="51"/>
      <c r="R145" s="56"/>
    </row>
    <row r="146" spans="1:18" ht="17">
      <c r="A146" s="22">
        <v>145</v>
      </c>
      <c r="B146" s="6"/>
      <c r="C146" s="119"/>
      <c r="D146" s="41" t="s">
        <v>644</v>
      </c>
      <c r="E146" s="41" t="s">
        <v>645</v>
      </c>
      <c r="F146" s="41" t="s">
        <v>646</v>
      </c>
      <c r="G146" s="41" t="s">
        <v>647</v>
      </c>
      <c r="H146" s="4">
        <v>2</v>
      </c>
      <c r="I146" s="7"/>
      <c r="J146" s="4">
        <f t="shared" si="5"/>
        <v>10</v>
      </c>
      <c r="K146" s="4"/>
      <c r="L146" s="41" t="s">
        <v>1</v>
      </c>
      <c r="M146" s="7"/>
      <c r="N146" s="15" t="s">
        <v>50</v>
      </c>
      <c r="O146" s="14"/>
      <c r="P146" s="32"/>
      <c r="Q146" s="51"/>
      <c r="R146" s="56"/>
    </row>
    <row r="147" spans="1:18">
      <c r="A147" s="22">
        <v>146</v>
      </c>
      <c r="B147" s="23" t="s">
        <v>648</v>
      </c>
      <c r="C147" s="43" t="s">
        <v>649</v>
      </c>
      <c r="D147" s="49" t="s">
        <v>650</v>
      </c>
      <c r="E147" s="49" t="s">
        <v>651</v>
      </c>
      <c r="F147" s="49" t="s">
        <v>652</v>
      </c>
      <c r="G147" s="49" t="s">
        <v>626</v>
      </c>
      <c r="H147" s="25">
        <v>7</v>
      </c>
      <c r="I147" s="49" t="s">
        <v>627</v>
      </c>
      <c r="J147" s="25">
        <f t="shared" si="5"/>
        <v>35</v>
      </c>
      <c r="K147" s="25">
        <v>200</v>
      </c>
      <c r="L147" s="49" t="s">
        <v>1</v>
      </c>
      <c r="M147" s="24"/>
      <c r="N147" s="46" t="s">
        <v>222</v>
      </c>
      <c r="O147" s="72"/>
      <c r="P147" s="32"/>
      <c r="Q147" s="49" t="s">
        <v>649</v>
      </c>
      <c r="R147" s="56">
        <v>220</v>
      </c>
    </row>
    <row r="148" spans="1:18" ht="17">
      <c r="A148" s="22">
        <v>147</v>
      </c>
      <c r="B148" s="6"/>
      <c r="C148" s="43" t="s">
        <v>653</v>
      </c>
      <c r="D148" s="41" t="s">
        <v>654</v>
      </c>
      <c r="E148" s="41" t="s">
        <v>655</v>
      </c>
      <c r="F148" s="41" t="s">
        <v>656</v>
      </c>
      <c r="G148" s="41" t="s">
        <v>626</v>
      </c>
      <c r="H148" s="4">
        <v>12</v>
      </c>
      <c r="I148" s="41" t="s">
        <v>102</v>
      </c>
      <c r="J148" s="4">
        <f t="shared" si="5"/>
        <v>60</v>
      </c>
      <c r="K148" s="4"/>
      <c r="L148" s="41" t="s">
        <v>1</v>
      </c>
      <c r="M148" s="7"/>
      <c r="N148" s="15" t="s">
        <v>50</v>
      </c>
      <c r="O148" s="14"/>
      <c r="P148" s="32"/>
      <c r="Q148" s="51"/>
      <c r="R148" s="56"/>
    </row>
    <row r="149" spans="1:18" ht="17">
      <c r="A149" s="22">
        <v>148</v>
      </c>
      <c r="B149" s="6"/>
      <c r="C149" s="43" t="s">
        <v>657</v>
      </c>
      <c r="D149" s="41" t="s">
        <v>658</v>
      </c>
      <c r="E149" s="41" t="s">
        <v>659</v>
      </c>
      <c r="F149" s="41" t="s">
        <v>660</v>
      </c>
      <c r="G149" s="41" t="s">
        <v>626</v>
      </c>
      <c r="H149" s="4">
        <v>12</v>
      </c>
      <c r="I149" s="41" t="s">
        <v>639</v>
      </c>
      <c r="J149" s="4">
        <f t="shared" si="5"/>
        <v>60</v>
      </c>
      <c r="K149" s="4"/>
      <c r="L149" s="41" t="s">
        <v>1</v>
      </c>
      <c r="M149" s="7"/>
      <c r="N149" s="15" t="s">
        <v>50</v>
      </c>
      <c r="O149" s="14"/>
      <c r="P149" s="32"/>
      <c r="Q149" s="51"/>
      <c r="R149" s="56"/>
    </row>
    <row r="150" spans="1:18" ht="17">
      <c r="A150" s="22">
        <v>149</v>
      </c>
      <c r="B150" s="6"/>
      <c r="C150" s="43" t="s">
        <v>661</v>
      </c>
      <c r="D150" s="41" t="s">
        <v>662</v>
      </c>
      <c r="E150" s="41" t="s">
        <v>663</v>
      </c>
      <c r="F150" s="41" t="s">
        <v>664</v>
      </c>
      <c r="G150" s="41" t="s">
        <v>453</v>
      </c>
      <c r="H150" s="4">
        <v>2</v>
      </c>
      <c r="I150" s="41" t="s">
        <v>665</v>
      </c>
      <c r="J150" s="4">
        <f t="shared" si="5"/>
        <v>10</v>
      </c>
      <c r="K150" s="4"/>
      <c r="L150" s="41" t="s">
        <v>1</v>
      </c>
      <c r="M150" s="7"/>
      <c r="N150" s="15" t="s">
        <v>50</v>
      </c>
      <c r="O150" s="14"/>
      <c r="P150" s="32"/>
      <c r="Q150" s="51"/>
      <c r="R150" s="56"/>
    </row>
    <row r="151" spans="1:18" ht="17">
      <c r="A151" s="22">
        <v>150</v>
      </c>
      <c r="B151" s="6"/>
      <c r="C151" s="119" t="s">
        <v>666</v>
      </c>
      <c r="D151" s="41" t="s">
        <v>667</v>
      </c>
      <c r="E151" s="41" t="s">
        <v>668</v>
      </c>
      <c r="F151" s="41" t="s">
        <v>669</v>
      </c>
      <c r="G151" s="41" t="s">
        <v>453</v>
      </c>
      <c r="H151" s="4">
        <v>2</v>
      </c>
      <c r="I151" s="41" t="s">
        <v>102</v>
      </c>
      <c r="J151" s="4">
        <f t="shared" si="5"/>
        <v>10</v>
      </c>
      <c r="K151" s="4"/>
      <c r="L151" s="41" t="s">
        <v>1</v>
      </c>
      <c r="M151" s="7"/>
      <c r="N151" s="15" t="s">
        <v>50</v>
      </c>
      <c r="O151" s="14"/>
      <c r="P151" s="32"/>
      <c r="Q151" s="51"/>
      <c r="R151" s="56"/>
    </row>
    <row r="152" spans="1:18" ht="17">
      <c r="A152" s="22">
        <v>151</v>
      </c>
      <c r="B152" s="6"/>
      <c r="C152" s="119" t="s">
        <v>670</v>
      </c>
      <c r="D152" s="41" t="s">
        <v>671</v>
      </c>
      <c r="E152" s="41" t="s">
        <v>672</v>
      </c>
      <c r="F152" s="41" t="s">
        <v>673</v>
      </c>
      <c r="G152" s="41" t="s">
        <v>453</v>
      </c>
      <c r="H152" s="4">
        <v>2</v>
      </c>
      <c r="I152" s="41" t="s">
        <v>102</v>
      </c>
      <c r="J152" s="4">
        <f t="shared" si="5"/>
        <v>10</v>
      </c>
      <c r="K152" s="4"/>
      <c r="L152" s="41" t="s">
        <v>1</v>
      </c>
      <c r="M152" s="7"/>
      <c r="N152" s="15" t="s">
        <v>50</v>
      </c>
      <c r="O152" s="14"/>
      <c r="P152" s="32"/>
      <c r="Q152" s="51"/>
      <c r="R152" s="56"/>
    </row>
    <row r="153" spans="1:18">
      <c r="A153" s="22">
        <v>152</v>
      </c>
      <c r="B153" s="23" t="s">
        <v>674</v>
      </c>
      <c r="C153" s="119" t="s">
        <v>675</v>
      </c>
      <c r="D153" s="49" t="s">
        <v>676</v>
      </c>
      <c r="E153" s="49" t="s">
        <v>677</v>
      </c>
      <c r="F153" s="49" t="s">
        <v>678</v>
      </c>
      <c r="G153" s="49" t="s">
        <v>626</v>
      </c>
      <c r="H153" s="25">
        <v>15</v>
      </c>
      <c r="I153" s="49" t="s">
        <v>627</v>
      </c>
      <c r="J153" s="25">
        <f t="shared" si="5"/>
        <v>75</v>
      </c>
      <c r="K153" s="25">
        <v>200</v>
      </c>
      <c r="L153" s="49" t="s">
        <v>1</v>
      </c>
      <c r="M153" s="24"/>
      <c r="N153" s="46" t="s">
        <v>222</v>
      </c>
      <c r="O153" s="72"/>
      <c r="P153" s="32"/>
      <c r="Q153" s="23" t="s">
        <v>675</v>
      </c>
      <c r="R153" s="56">
        <v>220</v>
      </c>
    </row>
    <row r="154" spans="1:18" ht="17">
      <c r="A154" s="22">
        <v>153</v>
      </c>
      <c r="B154" s="6"/>
      <c r="C154" s="119" t="s">
        <v>679</v>
      </c>
      <c r="D154" s="41" t="s">
        <v>680</v>
      </c>
      <c r="E154" s="41" t="s">
        <v>681</v>
      </c>
      <c r="F154" s="41" t="s">
        <v>682</v>
      </c>
      <c r="G154" s="41" t="s">
        <v>453</v>
      </c>
      <c r="H154" s="4">
        <v>4</v>
      </c>
      <c r="I154" s="41" t="s">
        <v>683</v>
      </c>
      <c r="J154" s="4">
        <f t="shared" si="5"/>
        <v>20</v>
      </c>
      <c r="K154" s="4"/>
      <c r="L154" s="41" t="s">
        <v>1</v>
      </c>
      <c r="M154" s="7"/>
      <c r="N154" s="15" t="s">
        <v>50</v>
      </c>
      <c r="O154" s="14"/>
      <c r="P154" s="32"/>
      <c r="Q154" s="51"/>
      <c r="R154" s="56"/>
    </row>
    <row r="155" spans="1:18" ht="17">
      <c r="A155" s="22">
        <v>154</v>
      </c>
      <c r="B155" s="6"/>
      <c r="C155" s="119" t="s">
        <v>684</v>
      </c>
      <c r="D155" s="41" t="s">
        <v>685</v>
      </c>
      <c r="E155" s="41" t="s">
        <v>686</v>
      </c>
      <c r="F155" s="41" t="s">
        <v>687</v>
      </c>
      <c r="G155" s="41" t="s">
        <v>626</v>
      </c>
      <c r="H155" s="4">
        <v>1</v>
      </c>
      <c r="I155" s="41" t="s">
        <v>683</v>
      </c>
      <c r="J155" s="4">
        <f t="shared" si="5"/>
        <v>5</v>
      </c>
      <c r="K155" s="4"/>
      <c r="L155" s="41" t="s">
        <v>1</v>
      </c>
      <c r="M155" s="7"/>
      <c r="N155" s="15" t="s">
        <v>50</v>
      </c>
      <c r="O155" s="14"/>
      <c r="P155" s="32"/>
      <c r="Q155" s="51"/>
      <c r="R155" s="56"/>
    </row>
    <row r="156" spans="1:18" ht="17">
      <c r="A156" s="22">
        <v>155</v>
      </c>
      <c r="B156" s="6"/>
      <c r="C156" s="119" t="s">
        <v>688</v>
      </c>
      <c r="D156" s="41" t="s">
        <v>689</v>
      </c>
      <c r="E156" s="41" t="s">
        <v>690</v>
      </c>
      <c r="F156" s="41" t="s">
        <v>691</v>
      </c>
      <c r="G156" s="41" t="s">
        <v>626</v>
      </c>
      <c r="H156" s="4">
        <v>1</v>
      </c>
      <c r="I156" s="41" t="s">
        <v>665</v>
      </c>
      <c r="J156" s="4">
        <f t="shared" si="5"/>
        <v>5</v>
      </c>
      <c r="K156" s="4"/>
      <c r="L156" s="41" t="s">
        <v>1</v>
      </c>
      <c r="M156" s="7"/>
      <c r="N156" s="15" t="s">
        <v>50</v>
      </c>
      <c r="O156" s="14"/>
      <c r="P156" s="32"/>
      <c r="Q156" s="51"/>
      <c r="R156" s="56"/>
    </row>
    <row r="157" spans="1:18">
      <c r="A157" s="22">
        <v>156</v>
      </c>
      <c r="B157" s="23" t="s">
        <v>692</v>
      </c>
      <c r="C157" s="119" t="s">
        <v>693</v>
      </c>
      <c r="D157" s="49" t="s">
        <v>694</v>
      </c>
      <c r="E157" s="49" t="s">
        <v>695</v>
      </c>
      <c r="F157" s="49" t="s">
        <v>696</v>
      </c>
      <c r="G157" s="49" t="s">
        <v>626</v>
      </c>
      <c r="H157" s="25">
        <v>19</v>
      </c>
      <c r="I157" s="49" t="s">
        <v>102</v>
      </c>
      <c r="J157" s="25">
        <f t="shared" si="5"/>
        <v>95</v>
      </c>
      <c r="K157" s="25">
        <v>200</v>
      </c>
      <c r="L157" s="49" t="s">
        <v>216</v>
      </c>
      <c r="M157" s="24"/>
      <c r="N157" s="49" t="s">
        <v>28</v>
      </c>
      <c r="O157" s="72"/>
      <c r="P157" s="32"/>
      <c r="Q157" s="23" t="s">
        <v>693</v>
      </c>
      <c r="R157" s="56">
        <v>220</v>
      </c>
    </row>
    <row r="158" spans="1:18" ht="17">
      <c r="A158" s="22">
        <v>157</v>
      </c>
      <c r="B158" s="6"/>
      <c r="C158" s="119" t="s">
        <v>697</v>
      </c>
      <c r="D158" s="41" t="s">
        <v>698</v>
      </c>
      <c r="E158" s="41" t="s">
        <v>699</v>
      </c>
      <c r="F158" s="41" t="s">
        <v>700</v>
      </c>
      <c r="G158" s="41" t="s">
        <v>453</v>
      </c>
      <c r="H158" s="4">
        <v>2</v>
      </c>
      <c r="I158" s="41" t="s">
        <v>665</v>
      </c>
      <c r="J158" s="4">
        <f t="shared" si="5"/>
        <v>10</v>
      </c>
      <c r="K158" s="4"/>
      <c r="L158" s="41" t="s">
        <v>1</v>
      </c>
      <c r="M158" s="7"/>
      <c r="N158" s="15" t="s">
        <v>50</v>
      </c>
      <c r="O158" s="14"/>
      <c r="P158" s="32"/>
      <c r="Q158" s="51"/>
      <c r="R158" s="56"/>
    </row>
    <row r="159" spans="1:18">
      <c r="A159" s="22">
        <v>158</v>
      </c>
      <c r="B159" s="23" t="s">
        <v>701</v>
      </c>
      <c r="C159" s="119" t="s">
        <v>702</v>
      </c>
      <c r="D159" s="49" t="s">
        <v>703</v>
      </c>
      <c r="E159" s="49" t="s">
        <v>704</v>
      </c>
      <c r="F159" s="49" t="s">
        <v>705</v>
      </c>
      <c r="G159" s="49" t="s">
        <v>626</v>
      </c>
      <c r="H159" s="25">
        <v>1</v>
      </c>
      <c r="I159" s="49" t="s">
        <v>187</v>
      </c>
      <c r="J159" s="25">
        <f t="shared" si="5"/>
        <v>5</v>
      </c>
      <c r="K159" s="25">
        <v>100</v>
      </c>
      <c r="L159" s="49" t="s">
        <v>1</v>
      </c>
      <c r="M159" s="24"/>
      <c r="N159" s="49" t="s">
        <v>28</v>
      </c>
      <c r="O159" s="72"/>
      <c r="P159" s="32"/>
      <c r="Q159" s="23" t="s">
        <v>702</v>
      </c>
      <c r="R159" s="56">
        <v>220</v>
      </c>
    </row>
    <row r="160" spans="1:18" ht="17">
      <c r="A160" s="22">
        <v>159</v>
      </c>
      <c r="B160" s="6"/>
      <c r="C160" s="119" t="s">
        <v>706</v>
      </c>
      <c r="D160" s="41" t="s">
        <v>707</v>
      </c>
      <c r="E160" s="41" t="s">
        <v>708</v>
      </c>
      <c r="F160" s="41" t="s">
        <v>709</v>
      </c>
      <c r="G160" s="41" t="s">
        <v>626</v>
      </c>
      <c r="H160" s="4">
        <v>2</v>
      </c>
      <c r="I160" s="41" t="s">
        <v>683</v>
      </c>
      <c r="J160" s="4">
        <f t="shared" si="5"/>
        <v>10</v>
      </c>
      <c r="K160" s="4"/>
      <c r="L160" s="41" t="s">
        <v>1</v>
      </c>
      <c r="M160" s="7"/>
      <c r="N160" s="15" t="s">
        <v>50</v>
      </c>
      <c r="O160" s="14"/>
      <c r="P160" s="32"/>
      <c r="Q160" s="51"/>
      <c r="R160" s="56"/>
    </row>
    <row r="161" spans="1:18" ht="17">
      <c r="A161" s="22">
        <v>160</v>
      </c>
      <c r="B161" s="6"/>
      <c r="C161" s="119" t="s">
        <v>710</v>
      </c>
      <c r="D161" s="41" t="s">
        <v>711</v>
      </c>
      <c r="E161" s="41" t="s">
        <v>712</v>
      </c>
      <c r="F161" s="41" t="s">
        <v>713</v>
      </c>
      <c r="G161" s="41" t="s">
        <v>626</v>
      </c>
      <c r="H161" s="4">
        <v>3</v>
      </c>
      <c r="I161" s="41" t="s">
        <v>665</v>
      </c>
      <c r="J161" s="4">
        <f t="shared" si="5"/>
        <v>15</v>
      </c>
      <c r="K161" s="4"/>
      <c r="L161" s="41" t="s">
        <v>1</v>
      </c>
      <c r="M161" s="7"/>
      <c r="N161" s="15" t="s">
        <v>50</v>
      </c>
      <c r="O161" s="14"/>
      <c r="P161" s="32"/>
      <c r="Q161" s="51"/>
      <c r="R161" s="56"/>
    </row>
    <row r="162" spans="1:18" ht="17">
      <c r="A162" s="22">
        <v>161</v>
      </c>
      <c r="B162" s="6"/>
      <c r="C162" s="119" t="s">
        <v>714</v>
      </c>
      <c r="D162" s="41" t="s">
        <v>715</v>
      </c>
      <c r="E162" s="41" t="s">
        <v>716</v>
      </c>
      <c r="F162" s="41" t="s">
        <v>717</v>
      </c>
      <c r="G162" s="41" t="s">
        <v>638</v>
      </c>
      <c r="H162" s="4">
        <v>8</v>
      </c>
      <c r="I162" s="41" t="s">
        <v>102</v>
      </c>
      <c r="J162" s="4">
        <f t="shared" si="5"/>
        <v>40</v>
      </c>
      <c r="K162" s="4"/>
      <c r="L162" s="41" t="s">
        <v>1</v>
      </c>
      <c r="M162" s="7"/>
      <c r="N162" s="15" t="s">
        <v>50</v>
      </c>
      <c r="O162" s="14"/>
      <c r="P162" s="32"/>
      <c r="Q162" s="51"/>
      <c r="R162" s="56"/>
    </row>
    <row r="163" spans="1:18">
      <c r="A163" s="22">
        <v>162</v>
      </c>
      <c r="B163" s="23" t="s">
        <v>718</v>
      </c>
      <c r="C163" s="119" t="s">
        <v>719</v>
      </c>
      <c r="D163" s="49" t="s">
        <v>720</v>
      </c>
      <c r="E163" s="49" t="s">
        <v>721</v>
      </c>
      <c r="F163" s="49" t="s">
        <v>722</v>
      </c>
      <c r="G163" s="49" t="s">
        <v>626</v>
      </c>
      <c r="H163" s="25">
        <v>11</v>
      </c>
      <c r="I163" s="49" t="s">
        <v>723</v>
      </c>
      <c r="J163" s="25">
        <f t="shared" si="5"/>
        <v>55</v>
      </c>
      <c r="K163" s="25">
        <v>200</v>
      </c>
      <c r="L163" s="49" t="s">
        <v>1</v>
      </c>
      <c r="M163" s="24"/>
      <c r="N163" s="49" t="s">
        <v>28</v>
      </c>
      <c r="O163" s="72"/>
      <c r="P163" s="32"/>
      <c r="Q163" s="23" t="s">
        <v>719</v>
      </c>
      <c r="R163" s="56">
        <v>300</v>
      </c>
    </row>
    <row r="164" spans="1:18" ht="17">
      <c r="A164" s="22">
        <v>163</v>
      </c>
      <c r="B164" s="6"/>
      <c r="C164" s="119" t="s">
        <v>724</v>
      </c>
      <c r="D164" s="41" t="s">
        <v>725</v>
      </c>
      <c r="E164" s="41" t="s">
        <v>726</v>
      </c>
      <c r="F164" s="41" t="s">
        <v>727</v>
      </c>
      <c r="G164" s="41" t="s">
        <v>453</v>
      </c>
      <c r="H164" s="4">
        <v>4</v>
      </c>
      <c r="I164" s="41" t="s">
        <v>102</v>
      </c>
      <c r="J164" s="4">
        <f t="shared" si="5"/>
        <v>20</v>
      </c>
      <c r="K164" s="4"/>
      <c r="L164" s="41" t="s">
        <v>1</v>
      </c>
      <c r="M164" s="7"/>
      <c r="N164" s="15" t="s">
        <v>50</v>
      </c>
      <c r="O164" s="14"/>
      <c r="P164" s="32"/>
      <c r="Q164" s="51"/>
      <c r="R164" s="56"/>
    </row>
    <row r="165" spans="1:18" ht="17">
      <c r="A165" s="22">
        <v>164</v>
      </c>
      <c r="B165" s="6"/>
      <c r="C165" s="119" t="s">
        <v>728</v>
      </c>
      <c r="D165" s="41" t="s">
        <v>729</v>
      </c>
      <c r="E165" s="41" t="s">
        <v>730</v>
      </c>
      <c r="F165" s="41" t="s">
        <v>731</v>
      </c>
      <c r="G165" s="41" t="s">
        <v>626</v>
      </c>
      <c r="H165" s="4">
        <v>7</v>
      </c>
      <c r="I165" s="41" t="s">
        <v>102</v>
      </c>
      <c r="J165" s="4">
        <f t="shared" si="5"/>
        <v>35</v>
      </c>
      <c r="K165" s="4"/>
      <c r="L165" s="41" t="s">
        <v>1</v>
      </c>
      <c r="M165" s="7"/>
      <c r="N165" s="15" t="s">
        <v>50</v>
      </c>
      <c r="O165" s="14"/>
      <c r="P165" s="32"/>
      <c r="Q165" s="51"/>
      <c r="R165" s="56"/>
    </row>
    <row r="166" spans="1:18" s="3" customFormat="1" ht="17">
      <c r="A166" s="22">
        <v>165</v>
      </c>
      <c r="B166" s="23"/>
      <c r="C166" s="8" t="s">
        <v>732</v>
      </c>
      <c r="D166" s="49" t="s">
        <v>733</v>
      </c>
      <c r="E166" s="49" t="s">
        <v>734</v>
      </c>
      <c r="F166" s="49" t="s">
        <v>735</v>
      </c>
      <c r="G166" s="24" t="s">
        <v>736</v>
      </c>
      <c r="H166" s="25">
        <v>2</v>
      </c>
      <c r="I166" s="49" t="s">
        <v>519</v>
      </c>
      <c r="J166" s="25">
        <f t="shared" si="5"/>
        <v>10</v>
      </c>
      <c r="K166" s="25"/>
      <c r="L166" s="24" t="s">
        <v>1</v>
      </c>
      <c r="M166" s="24"/>
      <c r="N166" s="15" t="s">
        <v>50</v>
      </c>
      <c r="O166" s="32"/>
      <c r="P166" s="32"/>
      <c r="Q166" s="51"/>
      <c r="R166" s="56"/>
    </row>
    <row r="167" spans="1:18" ht="17">
      <c r="A167" s="22">
        <v>166</v>
      </c>
      <c r="B167" s="6"/>
      <c r="C167" s="119" t="s">
        <v>737</v>
      </c>
      <c r="D167" s="43" t="s">
        <v>738</v>
      </c>
      <c r="E167" s="7"/>
      <c r="F167" s="43" t="s">
        <v>739</v>
      </c>
      <c r="G167" s="7" t="s">
        <v>638</v>
      </c>
      <c r="H167" s="4">
        <v>3</v>
      </c>
      <c r="I167" s="41" t="s">
        <v>665</v>
      </c>
      <c r="J167" s="4">
        <v>15</v>
      </c>
      <c r="K167" s="4"/>
      <c r="L167" s="7"/>
      <c r="M167" s="7"/>
      <c r="N167" s="15" t="s">
        <v>50</v>
      </c>
      <c r="O167" s="14"/>
      <c r="P167" s="32"/>
      <c r="Q167" s="51"/>
      <c r="R167" s="56"/>
    </row>
    <row r="168" spans="1:18">
      <c r="A168" s="22">
        <v>167</v>
      </c>
      <c r="B168" s="23" t="s">
        <v>740</v>
      </c>
      <c r="C168" s="119" t="s">
        <v>741</v>
      </c>
      <c r="D168" s="49" t="s">
        <v>742</v>
      </c>
      <c r="E168" s="49" t="s">
        <v>743</v>
      </c>
      <c r="F168" s="49" t="s">
        <v>744</v>
      </c>
      <c r="G168" s="49" t="s">
        <v>626</v>
      </c>
      <c r="H168" s="25">
        <v>1</v>
      </c>
      <c r="I168" s="49" t="s">
        <v>102</v>
      </c>
      <c r="J168" s="25">
        <f t="shared" ref="J168:J199" si="6">5*H168</f>
        <v>5</v>
      </c>
      <c r="K168" s="25">
        <v>200</v>
      </c>
      <c r="L168" s="49" t="s">
        <v>216</v>
      </c>
      <c r="M168" s="24"/>
      <c r="N168" s="49" t="s">
        <v>28</v>
      </c>
      <c r="O168" s="72"/>
      <c r="P168" s="32"/>
      <c r="Q168" s="23" t="s">
        <v>1246</v>
      </c>
      <c r="R168" s="56">
        <v>220</v>
      </c>
    </row>
    <row r="169" spans="1:18" ht="17">
      <c r="A169" s="22">
        <v>168</v>
      </c>
      <c r="B169" s="6"/>
      <c r="C169" s="119" t="s">
        <v>745</v>
      </c>
      <c r="D169" s="41" t="s">
        <v>746</v>
      </c>
      <c r="E169" s="41" t="s">
        <v>747</v>
      </c>
      <c r="F169" s="41" t="s">
        <v>748</v>
      </c>
      <c r="G169" s="41" t="s">
        <v>638</v>
      </c>
      <c r="H169" s="4">
        <v>1</v>
      </c>
      <c r="I169" s="41" t="s">
        <v>102</v>
      </c>
      <c r="J169" s="4">
        <f t="shared" si="6"/>
        <v>5</v>
      </c>
      <c r="K169" s="4"/>
      <c r="L169" s="41" t="s">
        <v>1</v>
      </c>
      <c r="M169" s="7"/>
      <c r="N169" s="15" t="s">
        <v>50</v>
      </c>
      <c r="O169" s="14"/>
      <c r="P169" s="32"/>
      <c r="Q169" s="51"/>
      <c r="R169" s="56"/>
    </row>
    <row r="170" spans="1:18">
      <c r="A170" s="22">
        <v>169</v>
      </c>
      <c r="B170" s="23" t="s">
        <v>749</v>
      </c>
      <c r="C170" s="43" t="s">
        <v>750</v>
      </c>
      <c r="D170" s="49" t="s">
        <v>751</v>
      </c>
      <c r="E170" s="49" t="s">
        <v>752</v>
      </c>
      <c r="F170" s="49" t="s">
        <v>753</v>
      </c>
      <c r="G170" s="49" t="s">
        <v>626</v>
      </c>
      <c r="H170" s="25">
        <v>15</v>
      </c>
      <c r="I170" s="49" t="s">
        <v>627</v>
      </c>
      <c r="J170" s="25">
        <f t="shared" si="6"/>
        <v>75</v>
      </c>
      <c r="K170" s="25">
        <v>200</v>
      </c>
      <c r="L170" s="49" t="s">
        <v>1</v>
      </c>
      <c r="M170" s="24"/>
      <c r="N170" s="46" t="s">
        <v>222</v>
      </c>
      <c r="O170" s="72"/>
      <c r="P170" s="32"/>
      <c r="Q170" s="49" t="s">
        <v>750</v>
      </c>
      <c r="R170" s="56">
        <v>220</v>
      </c>
    </row>
    <row r="171" spans="1:18">
      <c r="A171" s="22">
        <v>170</v>
      </c>
      <c r="B171" s="23" t="s">
        <v>754</v>
      </c>
      <c r="C171" s="43" t="s">
        <v>755</v>
      </c>
      <c r="D171" s="49" t="s">
        <v>756</v>
      </c>
      <c r="E171" s="49" t="s">
        <v>757</v>
      </c>
      <c r="F171" s="49" t="s">
        <v>758</v>
      </c>
      <c r="G171" s="49" t="s">
        <v>626</v>
      </c>
      <c r="H171" s="25">
        <v>6</v>
      </c>
      <c r="I171" s="49" t="s">
        <v>102</v>
      </c>
      <c r="J171" s="25">
        <f t="shared" si="6"/>
        <v>30</v>
      </c>
      <c r="K171" s="25"/>
      <c r="L171" s="49" t="s">
        <v>1</v>
      </c>
      <c r="M171" s="24"/>
      <c r="N171" s="49" t="s">
        <v>209</v>
      </c>
      <c r="O171" s="72"/>
      <c r="P171" s="32"/>
      <c r="Q171" s="56" t="s">
        <v>1267</v>
      </c>
      <c r="R171" s="56" t="s">
        <v>1268</v>
      </c>
    </row>
    <row r="172" spans="1:18">
      <c r="A172" s="22">
        <v>171</v>
      </c>
      <c r="B172" s="23" t="s">
        <v>759</v>
      </c>
      <c r="C172" s="43" t="s">
        <v>760</v>
      </c>
      <c r="D172" s="49" t="s">
        <v>761</v>
      </c>
      <c r="E172" s="49" t="s">
        <v>762</v>
      </c>
      <c r="F172" s="49" t="s">
        <v>763</v>
      </c>
      <c r="G172" s="49" t="s">
        <v>449</v>
      </c>
      <c r="H172" s="25">
        <v>1</v>
      </c>
      <c r="I172" s="49" t="s">
        <v>627</v>
      </c>
      <c r="J172" s="25">
        <f t="shared" si="6"/>
        <v>5</v>
      </c>
      <c r="K172" s="25">
        <v>200</v>
      </c>
      <c r="L172" s="49" t="s">
        <v>1</v>
      </c>
      <c r="M172" s="24"/>
      <c r="N172" s="46" t="s">
        <v>222</v>
      </c>
      <c r="O172" s="72"/>
      <c r="P172" s="32"/>
      <c r="Q172" s="49" t="s">
        <v>760</v>
      </c>
      <c r="R172" s="56">
        <v>220</v>
      </c>
    </row>
    <row r="173" spans="1:18">
      <c r="A173" s="22">
        <v>172</v>
      </c>
      <c r="B173" s="23" t="s">
        <v>764</v>
      </c>
      <c r="C173" s="43" t="s">
        <v>765</v>
      </c>
      <c r="D173" s="49" t="s">
        <v>766</v>
      </c>
      <c r="E173" s="49" t="s">
        <v>767</v>
      </c>
      <c r="F173" s="49" t="s">
        <v>768</v>
      </c>
      <c r="G173" s="49" t="s">
        <v>626</v>
      </c>
      <c r="H173" s="25">
        <v>6</v>
      </c>
      <c r="I173" s="49" t="s">
        <v>102</v>
      </c>
      <c r="J173" s="25">
        <f t="shared" si="6"/>
        <v>30</v>
      </c>
      <c r="K173" s="25">
        <v>100</v>
      </c>
      <c r="L173" s="49" t="s">
        <v>1</v>
      </c>
      <c r="M173" s="24"/>
      <c r="N173" s="49" t="s">
        <v>28</v>
      </c>
      <c r="O173" s="72"/>
      <c r="P173" s="32"/>
      <c r="Q173" s="49" t="s">
        <v>765</v>
      </c>
      <c r="R173" s="56">
        <v>220</v>
      </c>
    </row>
    <row r="174" spans="1:18">
      <c r="A174" s="22">
        <v>173</v>
      </c>
      <c r="B174" s="23" t="s">
        <v>769</v>
      </c>
      <c r="C174" s="119" t="s">
        <v>770</v>
      </c>
      <c r="D174" s="49" t="s">
        <v>771</v>
      </c>
      <c r="E174" s="49" t="s">
        <v>772</v>
      </c>
      <c r="F174" s="49" t="s">
        <v>773</v>
      </c>
      <c r="G174" s="49" t="s">
        <v>626</v>
      </c>
      <c r="H174" s="25">
        <v>2</v>
      </c>
      <c r="I174" s="49" t="s">
        <v>627</v>
      </c>
      <c r="J174" s="25">
        <f t="shared" si="6"/>
        <v>10</v>
      </c>
      <c r="K174" s="25">
        <v>200</v>
      </c>
      <c r="L174" s="49" t="s">
        <v>1</v>
      </c>
      <c r="M174" s="24"/>
      <c r="N174" s="46" t="s">
        <v>222</v>
      </c>
      <c r="O174" s="72"/>
      <c r="P174" s="32"/>
      <c r="Q174" s="23" t="s">
        <v>770</v>
      </c>
      <c r="R174" s="56">
        <v>220</v>
      </c>
    </row>
    <row r="175" spans="1:18">
      <c r="A175" s="22">
        <v>174</v>
      </c>
      <c r="B175" s="23" t="s">
        <v>774</v>
      </c>
      <c r="C175" s="43" t="s">
        <v>775</v>
      </c>
      <c r="D175" s="49" t="s">
        <v>776</v>
      </c>
      <c r="E175" s="49" t="s">
        <v>777</v>
      </c>
      <c r="F175" s="49" t="s">
        <v>778</v>
      </c>
      <c r="G175" s="49" t="s">
        <v>626</v>
      </c>
      <c r="H175" s="25">
        <v>5</v>
      </c>
      <c r="I175" s="49" t="s">
        <v>627</v>
      </c>
      <c r="J175" s="25">
        <f t="shared" si="6"/>
        <v>25</v>
      </c>
      <c r="K175" s="25">
        <v>100</v>
      </c>
      <c r="L175" s="49" t="s">
        <v>1</v>
      </c>
      <c r="M175" s="24"/>
      <c r="N175" s="46" t="s">
        <v>222</v>
      </c>
      <c r="O175" s="72"/>
      <c r="P175" s="32"/>
      <c r="Q175" s="49" t="s">
        <v>775</v>
      </c>
      <c r="R175" s="56">
        <v>220</v>
      </c>
    </row>
    <row r="176" spans="1:18">
      <c r="A176" s="22">
        <v>175</v>
      </c>
      <c r="B176" s="23" t="s">
        <v>779</v>
      </c>
      <c r="C176" s="43" t="s">
        <v>780</v>
      </c>
      <c r="D176" s="49" t="s">
        <v>781</v>
      </c>
      <c r="E176" s="49" t="s">
        <v>782</v>
      </c>
      <c r="F176" s="49" t="s">
        <v>783</v>
      </c>
      <c r="G176" s="49" t="s">
        <v>626</v>
      </c>
      <c r="H176" s="25">
        <v>4</v>
      </c>
      <c r="I176" s="49" t="s">
        <v>102</v>
      </c>
      <c r="J176" s="25">
        <f t="shared" si="6"/>
        <v>20</v>
      </c>
      <c r="K176" s="25"/>
      <c r="L176" s="49" t="s">
        <v>1</v>
      </c>
      <c r="M176" s="24"/>
      <c r="N176" s="49" t="s">
        <v>209</v>
      </c>
      <c r="O176" s="72"/>
      <c r="P176" s="32"/>
      <c r="Q176" s="49" t="s">
        <v>780</v>
      </c>
      <c r="R176" s="56" t="s">
        <v>1269</v>
      </c>
    </row>
    <row r="177" spans="1:18">
      <c r="A177" s="22">
        <v>176</v>
      </c>
      <c r="B177" s="23" t="s">
        <v>784</v>
      </c>
      <c r="C177" s="43" t="s">
        <v>785</v>
      </c>
      <c r="D177" s="49" t="s">
        <v>786</v>
      </c>
      <c r="E177" s="49" t="s">
        <v>787</v>
      </c>
      <c r="F177" s="49" t="s">
        <v>788</v>
      </c>
      <c r="G177" s="49" t="s">
        <v>638</v>
      </c>
      <c r="H177" s="25">
        <v>12</v>
      </c>
      <c r="I177" s="49" t="s">
        <v>789</v>
      </c>
      <c r="J177" s="25">
        <f t="shared" si="6"/>
        <v>60</v>
      </c>
      <c r="K177" s="25"/>
      <c r="L177" s="49" t="s">
        <v>1</v>
      </c>
      <c r="M177" s="24"/>
      <c r="N177" s="49" t="s">
        <v>178</v>
      </c>
      <c r="O177" s="72"/>
      <c r="P177" s="32"/>
      <c r="Q177" s="56" t="s">
        <v>1270</v>
      </c>
      <c r="R177" s="56">
        <v>70</v>
      </c>
    </row>
    <row r="178" spans="1:18">
      <c r="A178" s="22">
        <v>177</v>
      </c>
      <c r="B178" s="6"/>
      <c r="C178" s="119" t="s">
        <v>790</v>
      </c>
      <c r="D178" s="41" t="s">
        <v>791</v>
      </c>
      <c r="E178" s="41" t="s">
        <v>792</v>
      </c>
      <c r="F178" s="41" t="s">
        <v>793</v>
      </c>
      <c r="G178" s="41" t="s">
        <v>626</v>
      </c>
      <c r="H178" s="4">
        <v>2</v>
      </c>
      <c r="I178" s="41" t="s">
        <v>683</v>
      </c>
      <c r="J178" s="4">
        <f t="shared" si="6"/>
        <v>10</v>
      </c>
      <c r="K178" s="4"/>
      <c r="L178" s="41" t="s">
        <v>1</v>
      </c>
      <c r="M178" s="7"/>
      <c r="N178" s="15" t="s">
        <v>50</v>
      </c>
      <c r="O178" s="14"/>
      <c r="P178" s="32"/>
      <c r="Q178" s="56"/>
      <c r="R178" s="56"/>
    </row>
    <row r="179" spans="1:18">
      <c r="A179" s="22">
        <v>178</v>
      </c>
      <c r="B179" s="23" t="s">
        <v>794</v>
      </c>
      <c r="C179" s="43" t="s">
        <v>795</v>
      </c>
      <c r="D179" s="49" t="s">
        <v>796</v>
      </c>
      <c r="E179" s="49" t="s">
        <v>797</v>
      </c>
      <c r="F179" s="49" t="s">
        <v>798</v>
      </c>
      <c r="G179" s="49" t="s">
        <v>626</v>
      </c>
      <c r="H179" s="25">
        <v>2</v>
      </c>
      <c r="I179" s="49" t="s">
        <v>102</v>
      </c>
      <c r="J179" s="25">
        <f t="shared" si="6"/>
        <v>10</v>
      </c>
      <c r="K179" s="25">
        <v>100</v>
      </c>
      <c r="L179" s="49" t="s">
        <v>1</v>
      </c>
      <c r="M179" s="24"/>
      <c r="N179" s="49" t="s">
        <v>28</v>
      </c>
      <c r="O179" s="72"/>
      <c r="P179" s="32"/>
      <c r="Q179" s="49" t="s">
        <v>795</v>
      </c>
      <c r="R179" s="56">
        <v>220</v>
      </c>
    </row>
    <row r="180" spans="1:18">
      <c r="A180" s="22">
        <v>179</v>
      </c>
      <c r="B180" s="23" t="s">
        <v>799</v>
      </c>
      <c r="C180" s="43" t="s">
        <v>800</v>
      </c>
      <c r="D180" s="49" t="s">
        <v>801</v>
      </c>
      <c r="E180" s="49" t="s">
        <v>802</v>
      </c>
      <c r="F180" s="49" t="s">
        <v>803</v>
      </c>
      <c r="G180" s="49" t="s">
        <v>626</v>
      </c>
      <c r="H180" s="25">
        <v>7</v>
      </c>
      <c r="I180" s="49" t="s">
        <v>102</v>
      </c>
      <c r="J180" s="25">
        <f t="shared" si="6"/>
        <v>35</v>
      </c>
      <c r="K180" s="25"/>
      <c r="L180" s="49" t="s">
        <v>1</v>
      </c>
      <c r="M180" s="24"/>
      <c r="N180" s="49" t="s">
        <v>209</v>
      </c>
      <c r="O180" s="72"/>
      <c r="P180" s="32"/>
      <c r="Q180" s="49" t="s">
        <v>800</v>
      </c>
      <c r="R180" s="56" t="s">
        <v>1271</v>
      </c>
    </row>
    <row r="181" spans="1:18">
      <c r="A181" s="22">
        <v>180</v>
      </c>
      <c r="B181" s="23" t="s">
        <v>804</v>
      </c>
      <c r="C181" s="119" t="s">
        <v>805</v>
      </c>
      <c r="D181" s="49" t="s">
        <v>806</v>
      </c>
      <c r="E181" s="49" t="s">
        <v>807</v>
      </c>
      <c r="F181" s="49" t="s">
        <v>808</v>
      </c>
      <c r="G181" s="49" t="s">
        <v>626</v>
      </c>
      <c r="H181" s="25">
        <v>1</v>
      </c>
      <c r="I181" s="49" t="s">
        <v>102</v>
      </c>
      <c r="J181" s="25">
        <f t="shared" si="6"/>
        <v>5</v>
      </c>
      <c r="K181" s="25"/>
      <c r="L181" s="49" t="s">
        <v>1</v>
      </c>
      <c r="M181" s="24"/>
      <c r="N181" s="49" t="s">
        <v>209</v>
      </c>
      <c r="O181" s="72"/>
      <c r="P181" s="32"/>
      <c r="Q181" s="23" t="s">
        <v>805</v>
      </c>
      <c r="R181" s="56" t="s">
        <v>1272</v>
      </c>
    </row>
    <row r="182" spans="1:18" ht="17">
      <c r="A182" s="22">
        <v>181</v>
      </c>
      <c r="B182" s="6"/>
      <c r="C182" s="119" t="s">
        <v>809</v>
      </c>
      <c r="D182" s="41" t="s">
        <v>810</v>
      </c>
      <c r="E182" s="41" t="s">
        <v>811</v>
      </c>
      <c r="F182" s="41" t="s">
        <v>812</v>
      </c>
      <c r="G182" s="41" t="s">
        <v>626</v>
      </c>
      <c r="H182" s="4">
        <v>1</v>
      </c>
      <c r="I182" s="41" t="s">
        <v>102</v>
      </c>
      <c r="J182" s="4">
        <f t="shared" si="6"/>
        <v>5</v>
      </c>
      <c r="K182" s="4"/>
      <c r="L182" s="41" t="s">
        <v>1</v>
      </c>
      <c r="M182" s="7"/>
      <c r="N182" s="15" t="s">
        <v>50</v>
      </c>
      <c r="O182" s="14"/>
      <c r="P182" s="32"/>
      <c r="Q182" s="51"/>
      <c r="R182" s="56"/>
    </row>
    <row r="183" spans="1:18" s="2" customFormat="1" ht="17">
      <c r="A183" s="22">
        <v>182</v>
      </c>
      <c r="B183" s="9"/>
      <c r="C183" s="118" t="s">
        <v>813</v>
      </c>
      <c r="D183" s="45" t="s">
        <v>814</v>
      </c>
      <c r="E183" s="45" t="s">
        <v>815</v>
      </c>
      <c r="F183" s="45" t="s">
        <v>816</v>
      </c>
      <c r="G183" s="45" t="s">
        <v>449</v>
      </c>
      <c r="H183" s="12">
        <v>1</v>
      </c>
      <c r="I183" s="45" t="s">
        <v>665</v>
      </c>
      <c r="J183" s="12">
        <f t="shared" si="6"/>
        <v>5</v>
      </c>
      <c r="K183" s="12"/>
      <c r="L183" s="10" t="s">
        <v>1</v>
      </c>
      <c r="M183" s="10"/>
      <c r="N183" s="16" t="s">
        <v>54</v>
      </c>
      <c r="O183" s="17"/>
      <c r="P183" s="17"/>
      <c r="Q183" s="52"/>
      <c r="R183" s="57"/>
    </row>
    <row r="184" spans="1:18" ht="17">
      <c r="A184" s="22">
        <v>183</v>
      </c>
      <c r="B184" s="6"/>
      <c r="C184" s="43" t="s">
        <v>817</v>
      </c>
      <c r="D184" s="41" t="s">
        <v>818</v>
      </c>
      <c r="E184" s="41" t="s">
        <v>819</v>
      </c>
      <c r="F184" s="41" t="s">
        <v>820</v>
      </c>
      <c r="G184" s="41" t="s">
        <v>626</v>
      </c>
      <c r="H184" s="4">
        <v>1</v>
      </c>
      <c r="I184" s="41" t="s">
        <v>102</v>
      </c>
      <c r="J184" s="4">
        <f t="shared" si="6"/>
        <v>5</v>
      </c>
      <c r="K184" s="4"/>
      <c r="L184" s="41" t="s">
        <v>1</v>
      </c>
      <c r="M184" s="7"/>
      <c r="N184" s="15" t="s">
        <v>50</v>
      </c>
      <c r="O184" s="14"/>
      <c r="P184" s="32"/>
      <c r="Q184" s="51"/>
      <c r="R184" s="56"/>
    </row>
    <row r="185" spans="1:18">
      <c r="A185" s="22">
        <v>184</v>
      </c>
      <c r="B185" s="23" t="s">
        <v>821</v>
      </c>
      <c r="C185" s="43" t="s">
        <v>822</v>
      </c>
      <c r="D185" s="49" t="s">
        <v>823</v>
      </c>
      <c r="E185" s="49" t="s">
        <v>824</v>
      </c>
      <c r="F185" s="49" t="s">
        <v>825</v>
      </c>
      <c r="G185" s="49" t="s">
        <v>626</v>
      </c>
      <c r="H185" s="25">
        <v>1</v>
      </c>
      <c r="I185" s="49" t="s">
        <v>102</v>
      </c>
      <c r="J185" s="25">
        <f t="shared" si="6"/>
        <v>5</v>
      </c>
      <c r="K185" s="25"/>
      <c r="L185" s="49" t="s">
        <v>1</v>
      </c>
      <c r="M185" s="24"/>
      <c r="N185" s="49" t="s">
        <v>28</v>
      </c>
      <c r="O185" s="72"/>
      <c r="P185" s="32"/>
      <c r="Q185" s="49" t="s">
        <v>822</v>
      </c>
      <c r="R185" s="56">
        <v>220</v>
      </c>
    </row>
    <row r="186" spans="1:18">
      <c r="A186" s="22">
        <v>185</v>
      </c>
      <c r="B186" s="23" t="s">
        <v>826</v>
      </c>
      <c r="C186" s="43" t="s">
        <v>827</v>
      </c>
      <c r="D186" s="49" t="s">
        <v>828</v>
      </c>
      <c r="E186" s="49" t="s">
        <v>829</v>
      </c>
      <c r="F186" s="49" t="s">
        <v>830</v>
      </c>
      <c r="G186" s="49" t="s">
        <v>626</v>
      </c>
      <c r="H186" s="25">
        <v>1</v>
      </c>
      <c r="I186" s="49" t="s">
        <v>627</v>
      </c>
      <c r="J186" s="25">
        <f t="shared" si="6"/>
        <v>5</v>
      </c>
      <c r="K186" s="25">
        <v>200</v>
      </c>
      <c r="L186" s="49" t="s">
        <v>1</v>
      </c>
      <c r="M186" s="24"/>
      <c r="N186" s="46" t="s">
        <v>222</v>
      </c>
      <c r="O186" s="72"/>
      <c r="P186" s="32"/>
      <c r="Q186" s="49" t="s">
        <v>827</v>
      </c>
      <c r="R186" s="56">
        <v>220</v>
      </c>
    </row>
    <row r="187" spans="1:18">
      <c r="A187" s="22">
        <v>186</v>
      </c>
      <c r="B187" s="23" t="s">
        <v>831</v>
      </c>
      <c r="C187" s="43" t="s">
        <v>832</v>
      </c>
      <c r="D187" s="49" t="s">
        <v>833</v>
      </c>
      <c r="E187" s="49" t="s">
        <v>834</v>
      </c>
      <c r="F187" s="49" t="s">
        <v>835</v>
      </c>
      <c r="G187" s="49" t="s">
        <v>626</v>
      </c>
      <c r="H187" s="25">
        <v>1</v>
      </c>
      <c r="I187" s="49" t="s">
        <v>102</v>
      </c>
      <c r="J187" s="25">
        <f t="shared" si="6"/>
        <v>5</v>
      </c>
      <c r="K187" s="25">
        <v>100</v>
      </c>
      <c r="L187" s="49" t="s">
        <v>1</v>
      </c>
      <c r="M187" s="24"/>
      <c r="N187" s="49" t="s">
        <v>28</v>
      </c>
      <c r="O187" s="72"/>
      <c r="P187" s="32"/>
      <c r="Q187" s="49" t="s">
        <v>832</v>
      </c>
      <c r="R187" s="56">
        <v>220</v>
      </c>
    </row>
    <row r="188" spans="1:18">
      <c r="A188" s="22">
        <v>187</v>
      </c>
      <c r="B188" s="23" t="s">
        <v>836</v>
      </c>
      <c r="C188" s="43" t="s">
        <v>837</v>
      </c>
      <c r="D188" s="49" t="s">
        <v>838</v>
      </c>
      <c r="E188" s="49" t="s">
        <v>839</v>
      </c>
      <c r="F188" s="49" t="s">
        <v>840</v>
      </c>
      <c r="G188" s="49" t="s">
        <v>626</v>
      </c>
      <c r="H188" s="25">
        <v>3</v>
      </c>
      <c r="I188" s="49" t="s">
        <v>627</v>
      </c>
      <c r="J188" s="25">
        <f t="shared" si="6"/>
        <v>15</v>
      </c>
      <c r="K188" s="25">
        <v>100</v>
      </c>
      <c r="L188" s="49" t="s">
        <v>1</v>
      </c>
      <c r="M188" s="24"/>
      <c r="N188" s="46" t="s">
        <v>222</v>
      </c>
      <c r="O188" s="72"/>
      <c r="P188" s="32"/>
      <c r="Q188" s="49" t="s">
        <v>837</v>
      </c>
      <c r="R188" s="56">
        <v>220</v>
      </c>
    </row>
    <row r="189" spans="1:18">
      <c r="A189" s="22">
        <v>188</v>
      </c>
      <c r="B189" s="23" t="s">
        <v>841</v>
      </c>
      <c r="C189" s="43" t="s">
        <v>842</v>
      </c>
      <c r="D189" s="49" t="s">
        <v>843</v>
      </c>
      <c r="E189" s="49" t="s">
        <v>844</v>
      </c>
      <c r="F189" s="49" t="s">
        <v>845</v>
      </c>
      <c r="G189" s="49" t="s">
        <v>626</v>
      </c>
      <c r="H189" s="25">
        <v>2</v>
      </c>
      <c r="I189" s="49" t="s">
        <v>627</v>
      </c>
      <c r="J189" s="25">
        <f t="shared" si="6"/>
        <v>10</v>
      </c>
      <c r="K189" s="25">
        <v>200</v>
      </c>
      <c r="L189" s="49" t="s">
        <v>1</v>
      </c>
      <c r="M189" s="24"/>
      <c r="N189" s="46" t="s">
        <v>222</v>
      </c>
      <c r="O189" s="72"/>
      <c r="P189" s="32"/>
      <c r="Q189" s="49" t="s">
        <v>842</v>
      </c>
      <c r="R189" s="56">
        <v>220</v>
      </c>
    </row>
    <row r="190" spans="1:18">
      <c r="A190" s="22">
        <v>189</v>
      </c>
      <c r="B190" s="23" t="s">
        <v>846</v>
      </c>
      <c r="C190" s="43" t="s">
        <v>847</v>
      </c>
      <c r="D190" s="49" t="s">
        <v>848</v>
      </c>
      <c r="E190" s="49" t="s">
        <v>849</v>
      </c>
      <c r="F190" s="49" t="s">
        <v>850</v>
      </c>
      <c r="G190" s="49" t="s">
        <v>626</v>
      </c>
      <c r="H190" s="25">
        <v>1</v>
      </c>
      <c r="I190" s="49" t="s">
        <v>102</v>
      </c>
      <c r="J190" s="25">
        <f t="shared" si="6"/>
        <v>5</v>
      </c>
      <c r="K190" s="25"/>
      <c r="L190" s="49" t="s">
        <v>1</v>
      </c>
      <c r="M190" s="24"/>
      <c r="N190" s="49" t="s">
        <v>209</v>
      </c>
      <c r="O190" s="72"/>
      <c r="P190" s="32"/>
      <c r="Q190" s="56" t="s">
        <v>1273</v>
      </c>
      <c r="R190" s="56">
        <v>12</v>
      </c>
    </row>
    <row r="191" spans="1:18">
      <c r="A191" s="22">
        <v>190</v>
      </c>
      <c r="B191" s="23" t="s">
        <v>851</v>
      </c>
      <c r="C191" s="43" t="s">
        <v>852</v>
      </c>
      <c r="D191" s="49" t="s">
        <v>853</v>
      </c>
      <c r="E191" s="49" t="s">
        <v>854</v>
      </c>
      <c r="F191" s="49" t="s">
        <v>855</v>
      </c>
      <c r="G191" s="49" t="s">
        <v>626</v>
      </c>
      <c r="H191" s="25">
        <v>4</v>
      </c>
      <c r="I191" s="49" t="s">
        <v>639</v>
      </c>
      <c r="J191" s="25">
        <f t="shared" si="6"/>
        <v>20</v>
      </c>
      <c r="K191" s="25">
        <v>100</v>
      </c>
      <c r="L191" s="49" t="s">
        <v>1</v>
      </c>
      <c r="M191" s="24"/>
      <c r="N191" s="49" t="s">
        <v>28</v>
      </c>
      <c r="O191" s="72"/>
      <c r="P191" s="32"/>
      <c r="Q191" s="49" t="s">
        <v>852</v>
      </c>
      <c r="R191" s="56">
        <v>220</v>
      </c>
    </row>
    <row r="192" spans="1:18">
      <c r="A192" s="22">
        <v>191</v>
      </c>
      <c r="B192" s="23" t="s">
        <v>856</v>
      </c>
      <c r="C192" s="43" t="s">
        <v>857</v>
      </c>
      <c r="D192" s="49" t="s">
        <v>858</v>
      </c>
      <c r="E192" s="49" t="s">
        <v>859</v>
      </c>
      <c r="F192" s="49" t="s">
        <v>860</v>
      </c>
      <c r="G192" s="49" t="s">
        <v>626</v>
      </c>
      <c r="H192" s="25">
        <v>3</v>
      </c>
      <c r="I192" s="49" t="s">
        <v>102</v>
      </c>
      <c r="J192" s="25">
        <f t="shared" si="6"/>
        <v>15</v>
      </c>
      <c r="K192" s="25">
        <v>200</v>
      </c>
      <c r="L192" s="49" t="s">
        <v>1</v>
      </c>
      <c r="M192" s="24"/>
      <c r="N192" s="49" t="s">
        <v>28</v>
      </c>
      <c r="O192" s="72"/>
      <c r="P192" s="32"/>
      <c r="Q192" s="49" t="s">
        <v>857</v>
      </c>
      <c r="R192" s="56">
        <v>220</v>
      </c>
    </row>
    <row r="193" spans="1:18">
      <c r="A193" s="22">
        <v>192</v>
      </c>
      <c r="B193" s="23" t="s">
        <v>861</v>
      </c>
      <c r="C193" s="43" t="s">
        <v>862</v>
      </c>
      <c r="D193" s="49" t="s">
        <v>863</v>
      </c>
      <c r="E193" s="49" t="s">
        <v>864</v>
      </c>
      <c r="F193" s="49" t="s">
        <v>865</v>
      </c>
      <c r="G193" s="49" t="s">
        <v>626</v>
      </c>
      <c r="H193" s="25">
        <v>6</v>
      </c>
      <c r="I193" s="49" t="s">
        <v>102</v>
      </c>
      <c r="J193" s="25">
        <f t="shared" si="6"/>
        <v>30</v>
      </c>
      <c r="K193" s="25">
        <v>100</v>
      </c>
      <c r="L193" s="49" t="s">
        <v>1</v>
      </c>
      <c r="M193" s="24"/>
      <c r="N193" s="49" t="s">
        <v>28</v>
      </c>
      <c r="O193" s="72"/>
      <c r="P193" s="32"/>
      <c r="Q193" s="49" t="s">
        <v>862</v>
      </c>
      <c r="R193" s="56">
        <v>220</v>
      </c>
    </row>
    <row r="194" spans="1:18">
      <c r="A194" s="22">
        <v>193</v>
      </c>
      <c r="B194" s="23" t="s">
        <v>866</v>
      </c>
      <c r="C194" s="43" t="s">
        <v>867</v>
      </c>
      <c r="D194" s="49" t="s">
        <v>868</v>
      </c>
      <c r="E194" s="49" t="s">
        <v>869</v>
      </c>
      <c r="F194" s="49" t="s">
        <v>870</v>
      </c>
      <c r="G194" s="49" t="s">
        <v>449</v>
      </c>
      <c r="H194" s="25">
        <v>2</v>
      </c>
      <c r="I194" s="49" t="s">
        <v>102</v>
      </c>
      <c r="J194" s="25">
        <f t="shared" si="6"/>
        <v>10</v>
      </c>
      <c r="K194" s="25">
        <v>100</v>
      </c>
      <c r="L194" s="49" t="s">
        <v>1</v>
      </c>
      <c r="M194" s="24"/>
      <c r="N194" s="49" t="s">
        <v>28</v>
      </c>
      <c r="O194" s="72"/>
      <c r="P194" s="32"/>
      <c r="Q194" s="49" t="s">
        <v>867</v>
      </c>
      <c r="R194" s="56">
        <v>220</v>
      </c>
    </row>
    <row r="195" spans="1:18">
      <c r="A195" s="22">
        <v>194</v>
      </c>
      <c r="B195" s="23" t="s">
        <v>871</v>
      </c>
      <c r="C195" s="43" t="s">
        <v>872</v>
      </c>
      <c r="D195" s="49" t="s">
        <v>873</v>
      </c>
      <c r="E195" s="49" t="s">
        <v>874</v>
      </c>
      <c r="F195" s="49" t="s">
        <v>875</v>
      </c>
      <c r="G195" s="49" t="s">
        <v>626</v>
      </c>
      <c r="H195" s="25">
        <v>1</v>
      </c>
      <c r="I195" s="49" t="s">
        <v>102</v>
      </c>
      <c r="J195" s="25">
        <f t="shared" si="6"/>
        <v>5</v>
      </c>
      <c r="K195" s="25"/>
      <c r="L195" s="49" t="s">
        <v>1</v>
      </c>
      <c r="M195" s="24"/>
      <c r="N195" s="49" t="s">
        <v>209</v>
      </c>
      <c r="O195" s="72"/>
      <c r="P195" s="32"/>
      <c r="Q195" s="56" t="s">
        <v>1274</v>
      </c>
      <c r="R195" s="56">
        <v>15</v>
      </c>
    </row>
    <row r="196" spans="1:18">
      <c r="A196" s="22">
        <v>195</v>
      </c>
      <c r="B196" s="23" t="s">
        <v>876</v>
      </c>
      <c r="C196" s="43" t="s">
        <v>877</v>
      </c>
      <c r="D196" s="49" t="s">
        <v>878</v>
      </c>
      <c r="E196" s="49" t="s">
        <v>879</v>
      </c>
      <c r="F196" s="49" t="s">
        <v>880</v>
      </c>
      <c r="G196" s="49" t="s">
        <v>881</v>
      </c>
      <c r="H196" s="25">
        <v>1</v>
      </c>
      <c r="I196" s="49" t="s">
        <v>102</v>
      </c>
      <c r="J196" s="25">
        <f t="shared" si="6"/>
        <v>5</v>
      </c>
      <c r="K196" s="25"/>
      <c r="L196" s="49" t="s">
        <v>1</v>
      </c>
      <c r="M196" s="24"/>
      <c r="N196" s="49" t="s">
        <v>209</v>
      </c>
      <c r="O196" s="72"/>
      <c r="P196" s="32"/>
      <c r="Q196" s="56" t="s">
        <v>1275</v>
      </c>
      <c r="R196" s="56">
        <v>5</v>
      </c>
    </row>
    <row r="197" spans="1:18">
      <c r="A197" s="22">
        <v>196</v>
      </c>
      <c r="B197" s="23" t="s">
        <v>882</v>
      </c>
      <c r="C197" s="43" t="s">
        <v>883</v>
      </c>
      <c r="D197" s="49" t="s">
        <v>884</v>
      </c>
      <c r="E197" s="49" t="s">
        <v>885</v>
      </c>
      <c r="F197" s="49" t="s">
        <v>886</v>
      </c>
      <c r="G197" s="49" t="s">
        <v>626</v>
      </c>
      <c r="H197" s="25">
        <v>2</v>
      </c>
      <c r="I197" s="49" t="s">
        <v>102</v>
      </c>
      <c r="J197" s="25">
        <f t="shared" si="6"/>
        <v>10</v>
      </c>
      <c r="K197" s="25"/>
      <c r="L197" s="49" t="s">
        <v>1</v>
      </c>
      <c r="M197" s="24"/>
      <c r="N197" s="49" t="s">
        <v>209</v>
      </c>
      <c r="O197" s="72"/>
      <c r="P197" s="32"/>
      <c r="Q197" s="56" t="s">
        <v>1276</v>
      </c>
      <c r="R197" s="56">
        <v>20</v>
      </c>
    </row>
    <row r="198" spans="1:18">
      <c r="A198" s="22">
        <v>197</v>
      </c>
      <c r="B198" s="23" t="s">
        <v>887</v>
      </c>
      <c r="C198" s="43" t="s">
        <v>888</v>
      </c>
      <c r="D198" s="49" t="s">
        <v>1659</v>
      </c>
      <c r="E198" s="49" t="s">
        <v>1658</v>
      </c>
      <c r="F198" s="49" t="s">
        <v>1657</v>
      </c>
      <c r="G198" s="49" t="s">
        <v>449</v>
      </c>
      <c r="H198" s="25">
        <v>7</v>
      </c>
      <c r="I198" s="49" t="s">
        <v>889</v>
      </c>
      <c r="J198" s="25">
        <f t="shared" si="6"/>
        <v>35</v>
      </c>
      <c r="K198" s="25">
        <v>100</v>
      </c>
      <c r="L198" s="49" t="s">
        <v>1</v>
      </c>
      <c r="M198" s="24"/>
      <c r="N198" s="49" t="s">
        <v>28</v>
      </c>
      <c r="O198" s="72"/>
      <c r="P198" s="32"/>
      <c r="Q198" s="49" t="s">
        <v>888</v>
      </c>
      <c r="R198" s="56">
        <v>150</v>
      </c>
    </row>
    <row r="199" spans="1:18">
      <c r="A199" s="22">
        <v>198</v>
      </c>
      <c r="B199" s="23"/>
      <c r="C199" s="43" t="s">
        <v>890</v>
      </c>
      <c r="D199" s="43" t="s">
        <v>891</v>
      </c>
      <c r="E199" s="49" t="s">
        <v>892</v>
      </c>
      <c r="F199" s="49" t="s">
        <v>893</v>
      </c>
      <c r="G199" s="49" t="s">
        <v>449</v>
      </c>
      <c r="H199" s="25">
        <v>4</v>
      </c>
      <c r="I199" s="49" t="s">
        <v>102</v>
      </c>
      <c r="J199" s="25">
        <f t="shared" si="6"/>
        <v>20</v>
      </c>
      <c r="K199" s="25">
        <v>100</v>
      </c>
      <c r="L199" s="49" t="s">
        <v>1</v>
      </c>
      <c r="M199" s="24"/>
      <c r="N199" s="49" t="s">
        <v>28</v>
      </c>
      <c r="O199" s="72"/>
      <c r="P199" s="32"/>
      <c r="Q199" s="49" t="s">
        <v>890</v>
      </c>
      <c r="R199" s="56">
        <v>220</v>
      </c>
    </row>
    <row r="200" spans="1:18">
      <c r="A200" s="22">
        <v>199</v>
      </c>
      <c r="B200" s="23" t="s">
        <v>894</v>
      </c>
      <c r="C200" s="43" t="s">
        <v>895</v>
      </c>
      <c r="D200" s="49" t="s">
        <v>896</v>
      </c>
      <c r="E200" s="49" t="s">
        <v>897</v>
      </c>
      <c r="F200" s="49" t="s">
        <v>898</v>
      </c>
      <c r="G200" s="49" t="s">
        <v>453</v>
      </c>
      <c r="H200" s="25">
        <v>2</v>
      </c>
      <c r="I200" s="49" t="s">
        <v>889</v>
      </c>
      <c r="J200" s="25">
        <f t="shared" ref="J200:J237" si="7">5*H200</f>
        <v>10</v>
      </c>
      <c r="K200" s="25">
        <v>100</v>
      </c>
      <c r="L200" s="49" t="s">
        <v>1</v>
      </c>
      <c r="M200" s="24"/>
      <c r="N200" s="49" t="s">
        <v>28</v>
      </c>
      <c r="O200" s="72"/>
      <c r="P200" s="32"/>
      <c r="Q200" s="49" t="s">
        <v>895</v>
      </c>
      <c r="R200" s="56">
        <v>150</v>
      </c>
    </row>
    <row r="201" spans="1:18">
      <c r="A201" s="22">
        <v>200</v>
      </c>
      <c r="B201" s="23" t="s">
        <v>899</v>
      </c>
      <c r="C201" s="43" t="s">
        <v>900</v>
      </c>
      <c r="D201" s="49" t="s">
        <v>901</v>
      </c>
      <c r="E201" s="49" t="s">
        <v>902</v>
      </c>
      <c r="F201" s="49" t="s">
        <v>903</v>
      </c>
      <c r="G201" s="49" t="s">
        <v>453</v>
      </c>
      <c r="H201" s="25">
        <v>4</v>
      </c>
      <c r="I201" s="49" t="s">
        <v>889</v>
      </c>
      <c r="J201" s="25">
        <f t="shared" si="7"/>
        <v>20</v>
      </c>
      <c r="K201" s="25"/>
      <c r="L201" s="49" t="s">
        <v>1</v>
      </c>
      <c r="M201" s="24"/>
      <c r="N201" s="49" t="s">
        <v>209</v>
      </c>
      <c r="O201" s="72"/>
      <c r="P201" s="32"/>
      <c r="Q201" s="56" t="s">
        <v>1277</v>
      </c>
      <c r="R201" s="56">
        <v>30</v>
      </c>
    </row>
    <row r="202" spans="1:18">
      <c r="A202" s="22">
        <v>201</v>
      </c>
      <c r="B202" s="23" t="s">
        <v>904</v>
      </c>
      <c r="C202" s="43" t="s">
        <v>905</v>
      </c>
      <c r="D202" s="49" t="s">
        <v>906</v>
      </c>
      <c r="E202" s="49" t="s">
        <v>907</v>
      </c>
      <c r="F202" s="49" t="s">
        <v>908</v>
      </c>
      <c r="G202" s="49" t="s">
        <v>449</v>
      </c>
      <c r="H202" s="25">
        <v>4</v>
      </c>
      <c r="I202" s="49" t="s">
        <v>889</v>
      </c>
      <c r="J202" s="25">
        <f t="shared" si="7"/>
        <v>20</v>
      </c>
      <c r="K202" s="25"/>
      <c r="L202" s="49" t="s">
        <v>1</v>
      </c>
      <c r="M202" s="24"/>
      <c r="N202" s="49" t="s">
        <v>209</v>
      </c>
      <c r="O202" s="72"/>
      <c r="P202" s="32"/>
      <c r="Q202" s="56" t="s">
        <v>1278</v>
      </c>
      <c r="R202" s="56" t="s">
        <v>1279</v>
      </c>
    </row>
    <row r="203" spans="1:18">
      <c r="A203" s="22">
        <v>202</v>
      </c>
      <c r="B203" s="23" t="s">
        <v>909</v>
      </c>
      <c r="C203" s="43" t="s">
        <v>910</v>
      </c>
      <c r="D203" s="49" t="s">
        <v>911</v>
      </c>
      <c r="E203" s="49" t="s">
        <v>912</v>
      </c>
      <c r="F203" s="49" t="s">
        <v>913</v>
      </c>
      <c r="G203" s="49" t="s">
        <v>638</v>
      </c>
      <c r="H203" s="25">
        <v>2</v>
      </c>
      <c r="I203" s="49" t="s">
        <v>889</v>
      </c>
      <c r="J203" s="25">
        <f t="shared" si="7"/>
        <v>10</v>
      </c>
      <c r="K203" s="25">
        <v>100</v>
      </c>
      <c r="L203" s="49" t="s">
        <v>1</v>
      </c>
      <c r="M203" s="24"/>
      <c r="N203" s="49" t="s">
        <v>28</v>
      </c>
      <c r="O203" s="72"/>
      <c r="P203" s="32"/>
      <c r="Q203" s="56" t="s">
        <v>1280</v>
      </c>
      <c r="R203" s="56">
        <v>150</v>
      </c>
    </row>
    <row r="204" spans="1:18">
      <c r="A204" s="22">
        <v>203</v>
      </c>
      <c r="B204" s="24" t="s">
        <v>914</v>
      </c>
      <c r="C204" s="43" t="s">
        <v>915</v>
      </c>
      <c r="D204" s="49" t="s">
        <v>916</v>
      </c>
      <c r="E204" s="49" t="s">
        <v>917</v>
      </c>
      <c r="F204" s="49" t="s">
        <v>918</v>
      </c>
      <c r="G204" s="49" t="s">
        <v>626</v>
      </c>
      <c r="H204" s="25">
        <v>16</v>
      </c>
      <c r="I204" s="49" t="s">
        <v>627</v>
      </c>
      <c r="J204" s="25">
        <f t="shared" si="7"/>
        <v>80</v>
      </c>
      <c r="K204" s="25">
        <v>200</v>
      </c>
      <c r="L204" s="49" t="s">
        <v>1</v>
      </c>
      <c r="M204" s="24"/>
      <c r="N204" s="46" t="s">
        <v>222</v>
      </c>
      <c r="O204" s="72"/>
      <c r="P204" s="32"/>
      <c r="Q204" s="49" t="s">
        <v>915</v>
      </c>
      <c r="R204" s="56">
        <v>220</v>
      </c>
    </row>
    <row r="205" spans="1:18" s="2" customFormat="1" ht="17">
      <c r="A205" s="22">
        <v>204</v>
      </c>
      <c r="B205" s="9"/>
      <c r="C205" s="44" t="s">
        <v>919</v>
      </c>
      <c r="D205" s="45" t="s">
        <v>920</v>
      </c>
      <c r="E205" s="45" t="s">
        <v>921</v>
      </c>
      <c r="F205" s="45" t="s">
        <v>922</v>
      </c>
      <c r="G205" s="45" t="s">
        <v>638</v>
      </c>
      <c r="H205" s="12">
        <v>2</v>
      </c>
      <c r="I205" s="45" t="s">
        <v>102</v>
      </c>
      <c r="J205" s="12">
        <f t="shared" si="7"/>
        <v>10</v>
      </c>
      <c r="K205" s="12"/>
      <c r="L205" s="10" t="s">
        <v>1</v>
      </c>
      <c r="M205" s="10"/>
      <c r="N205" s="16" t="s">
        <v>54</v>
      </c>
      <c r="O205" s="17"/>
      <c r="P205" s="17"/>
      <c r="Q205" s="52"/>
      <c r="R205" s="57"/>
    </row>
    <row r="206" spans="1:18" ht="17">
      <c r="A206" s="22">
        <v>205</v>
      </c>
      <c r="B206" s="6"/>
      <c r="C206" s="43" t="s">
        <v>923</v>
      </c>
      <c r="D206" s="41" t="s">
        <v>924</v>
      </c>
      <c r="E206" s="41" t="s">
        <v>925</v>
      </c>
      <c r="F206" s="41" t="s">
        <v>926</v>
      </c>
      <c r="G206" s="41" t="s">
        <v>453</v>
      </c>
      <c r="H206" s="4">
        <v>1</v>
      </c>
      <c r="I206" s="41" t="s">
        <v>102</v>
      </c>
      <c r="J206" s="4">
        <f t="shared" si="7"/>
        <v>5</v>
      </c>
      <c r="K206" s="4"/>
      <c r="L206" s="41" t="s">
        <v>1</v>
      </c>
      <c r="M206" s="7"/>
      <c r="N206" s="15" t="s">
        <v>50</v>
      </c>
      <c r="O206" s="14"/>
      <c r="P206" s="32"/>
      <c r="Q206" s="51"/>
      <c r="R206" s="56"/>
    </row>
    <row r="207" spans="1:18" ht="17">
      <c r="A207" s="22">
        <v>206</v>
      </c>
      <c r="B207" s="6"/>
      <c r="C207" s="43" t="s">
        <v>927</v>
      </c>
      <c r="D207" s="41" t="s">
        <v>928</v>
      </c>
      <c r="E207" s="41" t="s">
        <v>929</v>
      </c>
      <c r="F207" s="41" t="s">
        <v>930</v>
      </c>
      <c r="G207" s="41" t="s">
        <v>453</v>
      </c>
      <c r="H207" s="4">
        <v>1</v>
      </c>
      <c r="I207" s="41" t="s">
        <v>102</v>
      </c>
      <c r="J207" s="4">
        <f t="shared" si="7"/>
        <v>5</v>
      </c>
      <c r="K207" s="4"/>
      <c r="L207" s="41" t="s">
        <v>1</v>
      </c>
      <c r="M207" s="7"/>
      <c r="N207" s="15" t="s">
        <v>50</v>
      </c>
      <c r="O207" s="14"/>
      <c r="P207" s="32"/>
      <c r="Q207" s="51"/>
      <c r="R207" s="56"/>
    </row>
    <row r="208" spans="1:18" ht="17">
      <c r="A208" s="22">
        <v>207</v>
      </c>
      <c r="B208" s="6"/>
      <c r="C208" s="43" t="s">
        <v>931</v>
      </c>
      <c r="D208" s="41" t="s">
        <v>932</v>
      </c>
      <c r="E208" s="41" t="s">
        <v>933</v>
      </c>
      <c r="F208" s="41" t="s">
        <v>934</v>
      </c>
      <c r="G208" s="41" t="s">
        <v>626</v>
      </c>
      <c r="H208" s="4">
        <v>2</v>
      </c>
      <c r="I208" s="41" t="s">
        <v>102</v>
      </c>
      <c r="J208" s="4">
        <f t="shared" si="7"/>
        <v>10</v>
      </c>
      <c r="K208" s="4"/>
      <c r="L208" s="41" t="s">
        <v>1</v>
      </c>
      <c r="M208" s="7"/>
      <c r="N208" s="15" t="s">
        <v>50</v>
      </c>
      <c r="O208" s="14"/>
      <c r="P208" s="32"/>
      <c r="Q208" s="51"/>
      <c r="R208" s="56"/>
    </row>
    <row r="209" spans="1:18">
      <c r="A209" s="22">
        <v>208</v>
      </c>
      <c r="B209" s="23" t="s">
        <v>935</v>
      </c>
      <c r="C209" s="43" t="s">
        <v>936</v>
      </c>
      <c r="D209" s="49" t="s">
        <v>937</v>
      </c>
      <c r="E209" s="49" t="s">
        <v>938</v>
      </c>
      <c r="F209" s="49" t="s">
        <v>939</v>
      </c>
      <c r="G209" s="49" t="s">
        <v>449</v>
      </c>
      <c r="H209" s="25">
        <v>2</v>
      </c>
      <c r="I209" s="49" t="s">
        <v>889</v>
      </c>
      <c r="J209" s="25">
        <f t="shared" si="7"/>
        <v>10</v>
      </c>
      <c r="K209" s="25">
        <v>200</v>
      </c>
      <c r="L209" s="49" t="s">
        <v>1</v>
      </c>
      <c r="M209" s="24"/>
      <c r="N209" s="49" t="s">
        <v>28</v>
      </c>
      <c r="O209" s="72"/>
      <c r="P209" s="32"/>
      <c r="Q209" s="49" t="s">
        <v>936</v>
      </c>
      <c r="R209" s="56">
        <v>150</v>
      </c>
    </row>
    <row r="210" spans="1:18" ht="17">
      <c r="A210" s="22">
        <v>209</v>
      </c>
      <c r="B210" s="6"/>
      <c r="C210" s="43" t="s">
        <v>940</v>
      </c>
      <c r="D210" s="41" t="s">
        <v>941</v>
      </c>
      <c r="E210" s="41" t="s">
        <v>942</v>
      </c>
      <c r="F210" s="41" t="s">
        <v>943</v>
      </c>
      <c r="G210" s="41" t="s">
        <v>453</v>
      </c>
      <c r="H210" s="4">
        <v>1</v>
      </c>
      <c r="I210" s="41" t="s">
        <v>665</v>
      </c>
      <c r="J210" s="4">
        <f t="shared" si="7"/>
        <v>5</v>
      </c>
      <c r="K210" s="4"/>
      <c r="L210" s="41" t="s">
        <v>1</v>
      </c>
      <c r="M210" s="7"/>
      <c r="N210" s="15" t="s">
        <v>50</v>
      </c>
      <c r="O210" s="14"/>
      <c r="P210" s="32"/>
      <c r="Q210" s="51"/>
      <c r="R210" s="56"/>
    </row>
    <row r="211" spans="1:18" ht="17">
      <c r="A211" s="22">
        <v>210</v>
      </c>
      <c r="B211" s="6"/>
      <c r="C211" s="43" t="s">
        <v>944</v>
      </c>
      <c r="D211" s="41" t="s">
        <v>945</v>
      </c>
      <c r="E211" s="41" t="s">
        <v>946</v>
      </c>
      <c r="F211" s="41" t="s">
        <v>947</v>
      </c>
      <c r="G211" s="41" t="s">
        <v>626</v>
      </c>
      <c r="H211" s="4">
        <v>1</v>
      </c>
      <c r="I211" s="41" t="s">
        <v>102</v>
      </c>
      <c r="J211" s="4">
        <f t="shared" si="7"/>
        <v>5</v>
      </c>
      <c r="K211" s="4"/>
      <c r="L211" s="41" t="s">
        <v>1</v>
      </c>
      <c r="M211" s="7"/>
      <c r="N211" s="15" t="s">
        <v>50</v>
      </c>
      <c r="O211" s="14"/>
      <c r="P211" s="32"/>
      <c r="Q211" s="51"/>
      <c r="R211" s="56"/>
    </row>
    <row r="212" spans="1:18" ht="17">
      <c r="A212" s="22">
        <v>211</v>
      </c>
      <c r="B212" s="6"/>
      <c r="C212" s="43" t="s">
        <v>948</v>
      </c>
      <c r="D212" s="41" t="s">
        <v>949</v>
      </c>
      <c r="E212" s="41" t="s">
        <v>950</v>
      </c>
      <c r="F212" s="41" t="s">
        <v>951</v>
      </c>
      <c r="G212" s="41" t="s">
        <v>626</v>
      </c>
      <c r="H212" s="4">
        <v>1</v>
      </c>
      <c r="I212" s="41" t="s">
        <v>102</v>
      </c>
      <c r="J212" s="4">
        <f t="shared" si="7"/>
        <v>5</v>
      </c>
      <c r="K212" s="4"/>
      <c r="L212" s="41" t="s">
        <v>1</v>
      </c>
      <c r="M212" s="7"/>
      <c r="N212" s="15" t="s">
        <v>50</v>
      </c>
      <c r="O212" s="14"/>
      <c r="P212" s="32"/>
      <c r="Q212" s="51"/>
      <c r="R212" s="56"/>
    </row>
    <row r="213" spans="1:18" ht="17">
      <c r="A213" s="22">
        <v>212</v>
      </c>
      <c r="B213" s="6"/>
      <c r="C213" s="43" t="s">
        <v>952</v>
      </c>
      <c r="D213" s="41" t="s">
        <v>953</v>
      </c>
      <c r="E213" s="41" t="s">
        <v>954</v>
      </c>
      <c r="F213" s="41" t="s">
        <v>955</v>
      </c>
      <c r="G213" s="41" t="s">
        <v>626</v>
      </c>
      <c r="H213" s="4">
        <v>5</v>
      </c>
      <c r="I213" s="41" t="s">
        <v>102</v>
      </c>
      <c r="J213" s="4">
        <f t="shared" si="7"/>
        <v>25</v>
      </c>
      <c r="K213" s="4"/>
      <c r="L213" s="41" t="s">
        <v>1</v>
      </c>
      <c r="M213" s="7"/>
      <c r="N213" s="15" t="s">
        <v>50</v>
      </c>
      <c r="O213" s="14"/>
      <c r="P213" s="32"/>
      <c r="Q213" s="51"/>
      <c r="R213" s="56"/>
    </row>
    <row r="214" spans="1:18" ht="17">
      <c r="A214" s="22">
        <v>213</v>
      </c>
      <c r="B214" s="6"/>
      <c r="C214" s="43" t="s">
        <v>956</v>
      </c>
      <c r="D214" s="41" t="s">
        <v>957</v>
      </c>
      <c r="E214" s="41" t="s">
        <v>958</v>
      </c>
      <c r="F214" s="41" t="s">
        <v>959</v>
      </c>
      <c r="G214" s="41" t="s">
        <v>626</v>
      </c>
      <c r="H214" s="4">
        <v>1</v>
      </c>
      <c r="I214" s="41" t="s">
        <v>102</v>
      </c>
      <c r="J214" s="4">
        <f t="shared" si="7"/>
        <v>5</v>
      </c>
      <c r="K214" s="4"/>
      <c r="L214" s="41" t="s">
        <v>1</v>
      </c>
      <c r="M214" s="7"/>
      <c r="N214" s="15" t="s">
        <v>50</v>
      </c>
      <c r="O214" s="14"/>
      <c r="P214" s="32"/>
      <c r="Q214" s="51"/>
      <c r="R214" s="56"/>
    </row>
    <row r="215" spans="1:18" ht="17">
      <c r="A215" s="22">
        <v>214</v>
      </c>
      <c r="B215" s="6"/>
      <c r="C215" s="43" t="s">
        <v>960</v>
      </c>
      <c r="D215" s="41" t="s">
        <v>961</v>
      </c>
      <c r="E215" s="41" t="s">
        <v>962</v>
      </c>
      <c r="F215" s="41" t="s">
        <v>963</v>
      </c>
      <c r="G215" s="41" t="s">
        <v>626</v>
      </c>
      <c r="H215" s="4">
        <v>3</v>
      </c>
      <c r="I215" s="41" t="s">
        <v>102</v>
      </c>
      <c r="J215" s="4">
        <f t="shared" si="7"/>
        <v>15</v>
      </c>
      <c r="K215" s="4"/>
      <c r="L215" s="41" t="s">
        <v>1</v>
      </c>
      <c r="M215" s="7"/>
      <c r="N215" s="15" t="s">
        <v>50</v>
      </c>
      <c r="O215" s="14"/>
      <c r="P215" s="32"/>
      <c r="Q215" s="51"/>
      <c r="R215" s="56"/>
    </row>
    <row r="216" spans="1:18" ht="17">
      <c r="A216" s="22">
        <v>215</v>
      </c>
      <c r="B216" s="6"/>
      <c r="C216" s="43" t="s">
        <v>964</v>
      </c>
      <c r="D216" s="41" t="s">
        <v>965</v>
      </c>
      <c r="E216" s="41" t="s">
        <v>966</v>
      </c>
      <c r="F216" s="41" t="s">
        <v>967</v>
      </c>
      <c r="G216" s="41" t="s">
        <v>626</v>
      </c>
      <c r="H216" s="4">
        <v>1</v>
      </c>
      <c r="I216" s="41" t="s">
        <v>102</v>
      </c>
      <c r="J216" s="4">
        <f t="shared" si="7"/>
        <v>5</v>
      </c>
      <c r="K216" s="4"/>
      <c r="L216" s="41" t="s">
        <v>1</v>
      </c>
      <c r="M216" s="7"/>
      <c r="N216" s="15" t="s">
        <v>50</v>
      </c>
      <c r="O216" s="14"/>
      <c r="P216" s="32"/>
      <c r="Q216" s="51"/>
      <c r="R216" s="56"/>
    </row>
    <row r="217" spans="1:18" ht="17">
      <c r="A217" s="22">
        <v>216</v>
      </c>
      <c r="B217" s="6"/>
      <c r="C217" s="43" t="s">
        <v>968</v>
      </c>
      <c r="D217" s="41" t="s">
        <v>969</v>
      </c>
      <c r="E217" s="41" t="s">
        <v>970</v>
      </c>
      <c r="F217" s="41" t="s">
        <v>971</v>
      </c>
      <c r="G217" s="41" t="s">
        <v>626</v>
      </c>
      <c r="H217" s="4">
        <v>1</v>
      </c>
      <c r="I217" s="41" t="s">
        <v>102</v>
      </c>
      <c r="J217" s="4">
        <f t="shared" si="7"/>
        <v>5</v>
      </c>
      <c r="K217" s="4"/>
      <c r="L217" s="41" t="s">
        <v>1</v>
      </c>
      <c r="M217" s="7"/>
      <c r="N217" s="15" t="s">
        <v>50</v>
      </c>
      <c r="O217" s="14"/>
      <c r="P217" s="32"/>
      <c r="Q217" s="51"/>
      <c r="R217" s="56"/>
    </row>
    <row r="218" spans="1:18" ht="17">
      <c r="A218" s="22">
        <v>217</v>
      </c>
      <c r="B218" s="6"/>
      <c r="C218" s="43" t="s">
        <v>972</v>
      </c>
      <c r="D218" s="41" t="s">
        <v>973</v>
      </c>
      <c r="E218" s="41" t="s">
        <v>974</v>
      </c>
      <c r="F218" s="41" t="s">
        <v>975</v>
      </c>
      <c r="G218" s="41" t="s">
        <v>449</v>
      </c>
      <c r="H218" s="4">
        <v>1</v>
      </c>
      <c r="I218" s="41" t="s">
        <v>102</v>
      </c>
      <c r="J218" s="4">
        <f t="shared" si="7"/>
        <v>5</v>
      </c>
      <c r="K218" s="4"/>
      <c r="L218" s="41" t="s">
        <v>1</v>
      </c>
      <c r="M218" s="7"/>
      <c r="N218" s="15" t="s">
        <v>50</v>
      </c>
      <c r="O218" s="14"/>
      <c r="P218" s="32"/>
      <c r="Q218" s="51"/>
      <c r="R218" s="56"/>
    </row>
    <row r="219" spans="1:18" ht="17">
      <c r="A219" s="22">
        <v>218</v>
      </c>
      <c r="B219" s="6"/>
      <c r="C219" s="43" t="s">
        <v>976</v>
      </c>
      <c r="D219" s="41" t="s">
        <v>977</v>
      </c>
      <c r="E219" s="41" t="s">
        <v>978</v>
      </c>
      <c r="F219" s="41" t="s">
        <v>979</v>
      </c>
      <c r="G219" s="41" t="s">
        <v>626</v>
      </c>
      <c r="H219" s="4">
        <v>1</v>
      </c>
      <c r="I219" s="41" t="s">
        <v>102</v>
      </c>
      <c r="J219" s="4">
        <f t="shared" si="7"/>
        <v>5</v>
      </c>
      <c r="K219" s="4"/>
      <c r="L219" s="41" t="s">
        <v>1</v>
      </c>
      <c r="M219" s="7"/>
      <c r="N219" s="15" t="s">
        <v>50</v>
      </c>
      <c r="O219" s="14"/>
      <c r="P219" s="32"/>
      <c r="Q219" s="51"/>
      <c r="R219" s="56"/>
    </row>
    <row r="220" spans="1:18" ht="17">
      <c r="A220" s="22">
        <v>219</v>
      </c>
      <c r="B220" s="6"/>
      <c r="C220" s="43" t="s">
        <v>980</v>
      </c>
      <c r="D220" s="41" t="s">
        <v>981</v>
      </c>
      <c r="E220" s="41" t="s">
        <v>982</v>
      </c>
      <c r="F220" s="41" t="s">
        <v>983</v>
      </c>
      <c r="G220" s="41" t="s">
        <v>626</v>
      </c>
      <c r="H220" s="4">
        <v>2</v>
      </c>
      <c r="I220" s="41" t="s">
        <v>102</v>
      </c>
      <c r="J220" s="4">
        <f t="shared" si="7"/>
        <v>10</v>
      </c>
      <c r="K220" s="4"/>
      <c r="L220" s="41" t="s">
        <v>1</v>
      </c>
      <c r="M220" s="7"/>
      <c r="N220" s="15" t="s">
        <v>50</v>
      </c>
      <c r="O220" s="14"/>
      <c r="P220" s="32"/>
      <c r="Q220" s="51"/>
      <c r="R220" s="56"/>
    </row>
    <row r="221" spans="1:18" ht="17">
      <c r="A221" s="22">
        <v>220</v>
      </c>
      <c r="B221" s="7" t="s">
        <v>984</v>
      </c>
      <c r="C221" s="43" t="s">
        <v>985</v>
      </c>
      <c r="D221" s="41" t="s">
        <v>985</v>
      </c>
      <c r="E221" s="41" t="s">
        <v>986</v>
      </c>
      <c r="F221" s="41" t="s">
        <v>987</v>
      </c>
      <c r="G221" s="41" t="s">
        <v>449</v>
      </c>
      <c r="H221" s="4">
        <v>18</v>
      </c>
      <c r="I221" s="41" t="s">
        <v>59</v>
      </c>
      <c r="J221" s="4">
        <f t="shared" si="7"/>
        <v>90</v>
      </c>
      <c r="K221" s="4"/>
      <c r="L221" s="41" t="s">
        <v>1</v>
      </c>
      <c r="M221" s="41" t="s">
        <v>60</v>
      </c>
      <c r="N221" s="15" t="s">
        <v>50</v>
      </c>
      <c r="O221" s="14"/>
      <c r="P221" s="32"/>
      <c r="Q221" s="51"/>
      <c r="R221" s="56"/>
    </row>
    <row r="222" spans="1:18">
      <c r="A222" s="22">
        <v>221</v>
      </c>
      <c r="B222" s="23" t="s">
        <v>988</v>
      </c>
      <c r="C222" s="43" t="s">
        <v>989</v>
      </c>
      <c r="D222" s="49" t="s">
        <v>990</v>
      </c>
      <c r="E222" s="49" t="s">
        <v>991</v>
      </c>
      <c r="F222" s="49" t="s">
        <v>992</v>
      </c>
      <c r="G222" s="49" t="s">
        <v>449</v>
      </c>
      <c r="H222" s="25">
        <v>1</v>
      </c>
      <c r="I222" s="49" t="s">
        <v>889</v>
      </c>
      <c r="J222" s="25">
        <f t="shared" si="7"/>
        <v>5</v>
      </c>
      <c r="K222" s="25">
        <v>100</v>
      </c>
      <c r="L222" s="49" t="s">
        <v>1</v>
      </c>
      <c r="M222" s="24"/>
      <c r="N222" s="49" t="s">
        <v>28</v>
      </c>
      <c r="O222" s="72"/>
      <c r="P222" s="32"/>
      <c r="Q222" s="49" t="s">
        <v>989</v>
      </c>
      <c r="R222" s="56">
        <v>150</v>
      </c>
    </row>
    <row r="223" spans="1:18">
      <c r="A223" s="22">
        <v>222</v>
      </c>
      <c r="B223" s="23" t="s">
        <v>993</v>
      </c>
      <c r="C223" s="43" t="s">
        <v>994</v>
      </c>
      <c r="D223" s="49" t="s">
        <v>995</v>
      </c>
      <c r="E223" s="49" t="s">
        <v>996</v>
      </c>
      <c r="F223" s="49" t="s">
        <v>997</v>
      </c>
      <c r="G223" s="49" t="s">
        <v>626</v>
      </c>
      <c r="H223" s="25">
        <v>14</v>
      </c>
      <c r="I223" s="49" t="s">
        <v>102</v>
      </c>
      <c r="J223" s="25">
        <f t="shared" si="7"/>
        <v>70</v>
      </c>
      <c r="K223" s="25">
        <v>200</v>
      </c>
      <c r="L223" s="49" t="s">
        <v>1</v>
      </c>
      <c r="M223" s="24"/>
      <c r="N223" s="49" t="s">
        <v>998</v>
      </c>
      <c r="O223" s="72"/>
      <c r="P223" s="32"/>
      <c r="Q223" s="49" t="s">
        <v>994</v>
      </c>
      <c r="R223" s="56">
        <v>220</v>
      </c>
    </row>
    <row r="224" spans="1:18">
      <c r="A224" s="22">
        <v>223</v>
      </c>
      <c r="B224" s="23" t="s">
        <v>999</v>
      </c>
      <c r="C224" s="43" t="s">
        <v>1000</v>
      </c>
      <c r="D224" s="49" t="s">
        <v>1001</v>
      </c>
      <c r="E224" s="49" t="s">
        <v>1002</v>
      </c>
      <c r="F224" s="49" t="s">
        <v>1003</v>
      </c>
      <c r="G224" s="49" t="s">
        <v>449</v>
      </c>
      <c r="H224" s="25">
        <v>5</v>
      </c>
      <c r="I224" s="49" t="s">
        <v>627</v>
      </c>
      <c r="J224" s="25">
        <f t="shared" si="7"/>
        <v>25</v>
      </c>
      <c r="K224" s="25">
        <v>100</v>
      </c>
      <c r="L224" s="49" t="s">
        <v>1</v>
      </c>
      <c r="M224" s="24"/>
      <c r="N224" s="46" t="s">
        <v>222</v>
      </c>
      <c r="O224" s="72"/>
      <c r="P224" s="32"/>
      <c r="Q224" s="56" t="s">
        <v>1251</v>
      </c>
      <c r="R224" s="56">
        <v>80</v>
      </c>
    </row>
    <row r="225" spans="1:18">
      <c r="A225" s="22">
        <v>224</v>
      </c>
      <c r="B225" s="23" t="s">
        <v>1004</v>
      </c>
      <c r="C225" s="43" t="s">
        <v>1005</v>
      </c>
      <c r="D225" s="49" t="s">
        <v>1006</v>
      </c>
      <c r="E225" s="49" t="s">
        <v>1007</v>
      </c>
      <c r="F225" s="49" t="s">
        <v>1008</v>
      </c>
      <c r="G225" s="49" t="s">
        <v>453</v>
      </c>
      <c r="H225" s="25">
        <v>2</v>
      </c>
      <c r="I225" s="49" t="s">
        <v>627</v>
      </c>
      <c r="J225" s="25">
        <f t="shared" si="7"/>
        <v>10</v>
      </c>
      <c r="K225" s="25">
        <v>200</v>
      </c>
      <c r="L225" s="49" t="s">
        <v>1</v>
      </c>
      <c r="M225" s="24"/>
      <c r="N225" s="46" t="s">
        <v>222</v>
      </c>
      <c r="O225" s="72"/>
      <c r="P225" s="32"/>
      <c r="Q225" s="49" t="s">
        <v>1005</v>
      </c>
      <c r="R225" s="56">
        <v>220</v>
      </c>
    </row>
    <row r="226" spans="1:18" ht="17">
      <c r="A226" s="22">
        <v>225</v>
      </c>
      <c r="B226" s="6"/>
      <c r="C226" s="43" t="s">
        <v>1009</v>
      </c>
      <c r="D226" s="41" t="s">
        <v>1010</v>
      </c>
      <c r="E226" s="41" t="s">
        <v>1011</v>
      </c>
      <c r="F226" s="41" t="s">
        <v>1012</v>
      </c>
      <c r="G226" s="41" t="s">
        <v>638</v>
      </c>
      <c r="H226" s="4">
        <v>2</v>
      </c>
      <c r="I226" s="41" t="s">
        <v>102</v>
      </c>
      <c r="J226" s="4">
        <f t="shared" si="7"/>
        <v>10</v>
      </c>
      <c r="K226" s="4"/>
      <c r="L226" s="41" t="s">
        <v>1</v>
      </c>
      <c r="M226" s="7"/>
      <c r="N226" s="15" t="s">
        <v>50</v>
      </c>
      <c r="O226" s="14"/>
      <c r="P226" s="32"/>
      <c r="Q226" s="51"/>
      <c r="R226" s="56"/>
    </row>
    <row r="227" spans="1:18">
      <c r="A227" s="22">
        <v>226</v>
      </c>
      <c r="B227" s="24" t="s">
        <v>1013</v>
      </c>
      <c r="C227" s="43" t="s">
        <v>1014</v>
      </c>
      <c r="D227" s="49" t="s">
        <v>1015</v>
      </c>
      <c r="E227" s="49" t="s">
        <v>1016</v>
      </c>
      <c r="F227" s="49" t="s">
        <v>1017</v>
      </c>
      <c r="G227" s="49" t="s">
        <v>638</v>
      </c>
      <c r="H227" s="25">
        <v>2</v>
      </c>
      <c r="I227" s="49" t="s">
        <v>1018</v>
      </c>
      <c r="J227" s="25">
        <f t="shared" si="7"/>
        <v>10</v>
      </c>
      <c r="K227" s="25">
        <v>200</v>
      </c>
      <c r="L227" s="49" t="s">
        <v>1</v>
      </c>
      <c r="M227" s="24"/>
      <c r="N227" s="49" t="s">
        <v>28</v>
      </c>
      <c r="O227" s="72"/>
      <c r="P227" s="32"/>
      <c r="Q227" s="49" t="s">
        <v>1014</v>
      </c>
      <c r="R227" s="56">
        <v>300</v>
      </c>
    </row>
    <row r="228" spans="1:18" ht="17">
      <c r="A228" s="22">
        <v>227</v>
      </c>
      <c r="B228" s="6"/>
      <c r="C228" s="43" t="s">
        <v>1019</v>
      </c>
      <c r="D228" s="41" t="s">
        <v>1020</v>
      </c>
      <c r="E228" s="41" t="s">
        <v>1021</v>
      </c>
      <c r="F228" s="41" t="s">
        <v>1022</v>
      </c>
      <c r="G228" s="41" t="s">
        <v>449</v>
      </c>
      <c r="H228" s="4">
        <v>2</v>
      </c>
      <c r="I228" s="41" t="s">
        <v>102</v>
      </c>
      <c r="J228" s="4">
        <f t="shared" si="7"/>
        <v>10</v>
      </c>
      <c r="K228" s="4"/>
      <c r="L228" s="41" t="s">
        <v>1</v>
      </c>
      <c r="M228" s="7"/>
      <c r="N228" s="15" t="s">
        <v>50</v>
      </c>
      <c r="O228" s="14"/>
      <c r="P228" s="32"/>
      <c r="Q228" s="51"/>
      <c r="R228" s="56"/>
    </row>
    <row r="229" spans="1:18" ht="17">
      <c r="A229" s="22">
        <v>228</v>
      </c>
      <c r="B229" s="6"/>
      <c r="C229" s="43" t="s">
        <v>1023</v>
      </c>
      <c r="D229" s="41" t="s">
        <v>1024</v>
      </c>
      <c r="E229" s="41" t="s">
        <v>1025</v>
      </c>
      <c r="F229" s="41" t="s">
        <v>1026</v>
      </c>
      <c r="G229" s="41" t="s">
        <v>453</v>
      </c>
      <c r="H229" s="4">
        <v>2</v>
      </c>
      <c r="I229" s="41" t="s">
        <v>102</v>
      </c>
      <c r="J229" s="4">
        <f t="shared" si="7"/>
        <v>10</v>
      </c>
      <c r="K229" s="4"/>
      <c r="L229" s="41" t="s">
        <v>1</v>
      </c>
      <c r="M229" s="7"/>
      <c r="N229" s="15" t="s">
        <v>50</v>
      </c>
      <c r="O229" s="14"/>
      <c r="P229" s="32"/>
      <c r="Q229" s="51"/>
      <c r="R229" s="56"/>
    </row>
    <row r="230" spans="1:18" ht="17">
      <c r="A230" s="22">
        <v>229</v>
      </c>
      <c r="B230" s="6"/>
      <c r="C230" s="43" t="s">
        <v>1027</v>
      </c>
      <c r="D230" s="41" t="s">
        <v>1028</v>
      </c>
      <c r="E230" s="41" t="s">
        <v>1029</v>
      </c>
      <c r="F230" s="41" t="s">
        <v>1030</v>
      </c>
      <c r="G230" s="41" t="s">
        <v>453</v>
      </c>
      <c r="H230" s="4">
        <v>1</v>
      </c>
      <c r="I230" s="41" t="s">
        <v>102</v>
      </c>
      <c r="J230" s="4">
        <f t="shared" si="7"/>
        <v>5</v>
      </c>
      <c r="K230" s="4"/>
      <c r="L230" s="41" t="s">
        <v>1</v>
      </c>
      <c r="M230" s="7"/>
      <c r="N230" s="15" t="s">
        <v>50</v>
      </c>
      <c r="O230" s="14"/>
      <c r="P230" s="32"/>
      <c r="Q230" s="51"/>
      <c r="R230" s="56"/>
    </row>
    <row r="231" spans="1:18">
      <c r="A231" s="22">
        <v>230</v>
      </c>
      <c r="B231" s="23" t="s">
        <v>1031</v>
      </c>
      <c r="C231" s="43" t="s">
        <v>1032</v>
      </c>
      <c r="D231" s="49" t="s">
        <v>1033</v>
      </c>
      <c r="E231" s="49" t="s">
        <v>1034</v>
      </c>
      <c r="F231" s="49" t="s">
        <v>1035</v>
      </c>
      <c r="G231" s="49" t="s">
        <v>449</v>
      </c>
      <c r="H231" s="25">
        <v>2</v>
      </c>
      <c r="I231" s="49" t="s">
        <v>627</v>
      </c>
      <c r="J231" s="25">
        <f t="shared" si="7"/>
        <v>10</v>
      </c>
      <c r="K231" s="25">
        <v>100</v>
      </c>
      <c r="L231" s="49" t="s">
        <v>1</v>
      </c>
      <c r="M231" s="24"/>
      <c r="N231" s="46" t="s">
        <v>222</v>
      </c>
      <c r="O231" s="72"/>
      <c r="P231" s="32"/>
      <c r="Q231" s="49" t="s">
        <v>1032</v>
      </c>
      <c r="R231" s="56">
        <v>220</v>
      </c>
    </row>
    <row r="232" spans="1:18">
      <c r="A232" s="22">
        <v>231</v>
      </c>
      <c r="B232" s="23" t="s">
        <v>1036</v>
      </c>
      <c r="C232" s="43" t="s">
        <v>1037</v>
      </c>
      <c r="D232" s="49" t="s">
        <v>1038</v>
      </c>
      <c r="E232" s="49" t="s">
        <v>1039</v>
      </c>
      <c r="F232" s="49" t="s">
        <v>1040</v>
      </c>
      <c r="G232" s="49" t="s">
        <v>449</v>
      </c>
      <c r="H232" s="25">
        <v>1</v>
      </c>
      <c r="I232" s="49" t="s">
        <v>627</v>
      </c>
      <c r="J232" s="25">
        <f t="shared" si="7"/>
        <v>5</v>
      </c>
      <c r="K232" s="25">
        <v>200</v>
      </c>
      <c r="L232" s="49" t="s">
        <v>1</v>
      </c>
      <c r="M232" s="24"/>
      <c r="N232" s="46" t="s">
        <v>222</v>
      </c>
      <c r="O232" s="72"/>
      <c r="P232" s="32"/>
      <c r="Q232" s="49" t="s">
        <v>1037</v>
      </c>
      <c r="R232" s="56">
        <v>220</v>
      </c>
    </row>
    <row r="233" spans="1:18" ht="17">
      <c r="A233" s="22">
        <v>232</v>
      </c>
      <c r="B233" s="6"/>
      <c r="C233" s="43" t="s">
        <v>1041</v>
      </c>
      <c r="D233" s="41" t="s">
        <v>1042</v>
      </c>
      <c r="E233" s="41" t="s">
        <v>1043</v>
      </c>
      <c r="F233" s="41" t="s">
        <v>1044</v>
      </c>
      <c r="G233" s="41" t="s">
        <v>453</v>
      </c>
      <c r="H233" s="4">
        <v>1</v>
      </c>
      <c r="I233" s="41" t="s">
        <v>102</v>
      </c>
      <c r="J233" s="4">
        <f t="shared" si="7"/>
        <v>5</v>
      </c>
      <c r="K233" s="4"/>
      <c r="L233" s="41" t="s">
        <v>1</v>
      </c>
      <c r="M233" s="7"/>
      <c r="N233" s="15" t="s">
        <v>50</v>
      </c>
      <c r="O233" s="14"/>
      <c r="P233" s="32"/>
      <c r="Q233" s="51"/>
      <c r="R233" s="56"/>
    </row>
    <row r="234" spans="1:18" ht="17">
      <c r="A234" s="22">
        <v>233</v>
      </c>
      <c r="B234" s="6"/>
      <c r="C234" s="43" t="s">
        <v>1045</v>
      </c>
      <c r="D234" s="41" t="s">
        <v>1046</v>
      </c>
      <c r="E234" s="41" t="s">
        <v>1047</v>
      </c>
      <c r="F234" s="41" t="s">
        <v>1048</v>
      </c>
      <c r="G234" s="41" t="s">
        <v>638</v>
      </c>
      <c r="H234" s="4">
        <v>2</v>
      </c>
      <c r="I234" s="41" t="s">
        <v>102</v>
      </c>
      <c r="J234" s="4">
        <f t="shared" si="7"/>
        <v>10</v>
      </c>
      <c r="K234" s="4"/>
      <c r="L234" s="41" t="s">
        <v>1</v>
      </c>
      <c r="M234" s="7"/>
      <c r="N234" s="15" t="s">
        <v>50</v>
      </c>
      <c r="O234" s="14"/>
      <c r="P234" s="32"/>
      <c r="Q234" s="51"/>
      <c r="R234" s="56"/>
    </row>
    <row r="235" spans="1:18" ht="17">
      <c r="A235" s="22">
        <v>234</v>
      </c>
      <c r="B235" s="6"/>
      <c r="C235" s="43" t="s">
        <v>1049</v>
      </c>
      <c r="D235" s="41" t="s">
        <v>1050</v>
      </c>
      <c r="E235" s="41" t="s">
        <v>645</v>
      </c>
      <c r="F235" s="41" t="s">
        <v>1051</v>
      </c>
      <c r="G235" s="41" t="s">
        <v>626</v>
      </c>
      <c r="H235" s="4">
        <v>2</v>
      </c>
      <c r="I235" s="41" t="s">
        <v>102</v>
      </c>
      <c r="J235" s="4">
        <f t="shared" si="7"/>
        <v>10</v>
      </c>
      <c r="K235" s="4"/>
      <c r="L235" s="41" t="s">
        <v>1</v>
      </c>
      <c r="M235" s="7"/>
      <c r="N235" s="15" t="s">
        <v>50</v>
      </c>
      <c r="O235" s="14"/>
      <c r="P235" s="32"/>
      <c r="Q235" s="51"/>
      <c r="R235" s="56"/>
    </row>
    <row r="236" spans="1:18" ht="17">
      <c r="A236" s="22">
        <v>235</v>
      </c>
      <c r="B236" s="6"/>
      <c r="C236" s="43" t="s">
        <v>1052</v>
      </c>
      <c r="D236" s="41" t="s">
        <v>1053</v>
      </c>
      <c r="E236" s="41" t="s">
        <v>1054</v>
      </c>
      <c r="F236" s="41" t="s">
        <v>1055</v>
      </c>
      <c r="G236" s="41" t="s">
        <v>626</v>
      </c>
      <c r="H236" s="4">
        <v>3</v>
      </c>
      <c r="I236" s="41" t="s">
        <v>665</v>
      </c>
      <c r="J236" s="4">
        <f t="shared" si="7"/>
        <v>15</v>
      </c>
      <c r="K236" s="4"/>
      <c r="L236" s="41" t="s">
        <v>1</v>
      </c>
      <c r="M236" s="7"/>
      <c r="N236" s="15" t="s">
        <v>50</v>
      </c>
      <c r="O236" s="14"/>
      <c r="P236" s="32"/>
      <c r="Q236" s="51"/>
      <c r="R236" s="56"/>
    </row>
    <row r="237" spans="1:18" ht="17">
      <c r="A237" s="22">
        <v>236</v>
      </c>
      <c r="B237" s="6"/>
      <c r="C237" s="43" t="s">
        <v>1056</v>
      </c>
      <c r="D237" s="41" t="s">
        <v>1057</v>
      </c>
      <c r="E237" s="41" t="s">
        <v>1058</v>
      </c>
      <c r="F237" s="41" t="s">
        <v>1059</v>
      </c>
      <c r="G237" s="41" t="s">
        <v>626</v>
      </c>
      <c r="H237" s="4">
        <v>2</v>
      </c>
      <c r="I237" s="41" t="s">
        <v>102</v>
      </c>
      <c r="J237" s="4">
        <f t="shared" si="7"/>
        <v>10</v>
      </c>
      <c r="K237" s="4"/>
      <c r="L237" s="41" t="s">
        <v>1</v>
      </c>
      <c r="M237" s="7"/>
      <c r="N237" s="15" t="s">
        <v>50</v>
      </c>
      <c r="O237" s="14"/>
      <c r="P237" s="32"/>
      <c r="Q237" s="51"/>
      <c r="R237" s="56"/>
    </row>
    <row r="238" spans="1:18" s="2" customFormat="1" ht="17">
      <c r="A238" s="22">
        <v>237</v>
      </c>
      <c r="B238" s="9"/>
      <c r="C238" s="11" t="s">
        <v>1060</v>
      </c>
      <c r="D238" s="44" t="s">
        <v>1061</v>
      </c>
      <c r="E238" s="10"/>
      <c r="F238" s="44" t="s">
        <v>1062</v>
      </c>
      <c r="G238" s="45" t="s">
        <v>626</v>
      </c>
      <c r="H238" s="12">
        <v>3</v>
      </c>
      <c r="I238" s="45" t="s">
        <v>665</v>
      </c>
      <c r="J238" s="12">
        <v>15</v>
      </c>
      <c r="K238" s="12"/>
      <c r="L238" s="10" t="s">
        <v>1</v>
      </c>
      <c r="M238" s="10"/>
      <c r="N238" s="16" t="s">
        <v>54</v>
      </c>
      <c r="O238" s="17"/>
      <c r="P238" s="17"/>
      <c r="Q238" s="52"/>
      <c r="R238" s="57"/>
    </row>
    <row r="239" spans="1:18" ht="17">
      <c r="A239" s="22">
        <v>238</v>
      </c>
      <c r="B239" s="6"/>
      <c r="C239" s="119" t="s">
        <v>737</v>
      </c>
      <c r="D239" s="43" t="s">
        <v>1063</v>
      </c>
      <c r="E239" s="7"/>
      <c r="F239" s="43" t="s">
        <v>1064</v>
      </c>
      <c r="G239" s="7" t="s">
        <v>638</v>
      </c>
      <c r="H239" s="4">
        <v>1</v>
      </c>
      <c r="I239" s="41" t="s">
        <v>665</v>
      </c>
      <c r="J239" s="4">
        <v>5</v>
      </c>
      <c r="K239" s="4"/>
      <c r="L239" s="7"/>
      <c r="M239" s="7"/>
      <c r="N239" s="15" t="s">
        <v>50</v>
      </c>
      <c r="O239" s="14"/>
      <c r="P239" s="32"/>
      <c r="Q239" s="51"/>
      <c r="R239" s="56"/>
    </row>
    <row r="240" spans="1:18">
      <c r="A240" s="22">
        <v>239</v>
      </c>
      <c r="B240" s="23"/>
      <c r="C240" s="43" t="s">
        <v>1065</v>
      </c>
      <c r="D240" s="49" t="s">
        <v>1066</v>
      </c>
      <c r="E240" s="49" t="s">
        <v>1067</v>
      </c>
      <c r="F240" s="49" t="s">
        <v>1068</v>
      </c>
      <c r="G240" s="49" t="s">
        <v>1069</v>
      </c>
      <c r="H240" s="25">
        <v>2</v>
      </c>
      <c r="I240" s="33" t="s">
        <v>81</v>
      </c>
      <c r="J240" s="25">
        <f t="shared" ref="J240:J254" si="8">5*H240</f>
        <v>10</v>
      </c>
      <c r="K240" s="25"/>
      <c r="L240" s="49" t="s">
        <v>1</v>
      </c>
      <c r="M240" s="24"/>
      <c r="N240" s="49" t="s">
        <v>209</v>
      </c>
      <c r="O240" s="72"/>
      <c r="P240" s="32"/>
      <c r="Q240" s="56" t="s">
        <v>1281</v>
      </c>
      <c r="R240" s="56" t="s">
        <v>1282</v>
      </c>
    </row>
    <row r="241" spans="1:18" ht="17">
      <c r="A241" s="22">
        <v>240</v>
      </c>
      <c r="B241" s="6"/>
      <c r="C241" s="119" t="s">
        <v>494</v>
      </c>
      <c r="D241" s="41" t="s">
        <v>1070</v>
      </c>
      <c r="E241" s="41" t="s">
        <v>1070</v>
      </c>
      <c r="F241" s="41" t="s">
        <v>1071</v>
      </c>
      <c r="G241" s="41" t="s">
        <v>1072</v>
      </c>
      <c r="H241" s="4">
        <v>1</v>
      </c>
      <c r="I241" s="7"/>
      <c r="J241" s="4">
        <f t="shared" si="8"/>
        <v>5</v>
      </c>
      <c r="K241" s="4"/>
      <c r="L241" s="41" t="s">
        <v>2</v>
      </c>
      <c r="M241" s="7"/>
      <c r="N241" s="46" t="s">
        <v>474</v>
      </c>
      <c r="O241" s="14"/>
      <c r="P241" s="32"/>
      <c r="Q241" s="51"/>
      <c r="R241" s="56"/>
    </row>
    <row r="242" spans="1:18" ht="17">
      <c r="A242" s="22">
        <v>241</v>
      </c>
      <c r="B242" s="6"/>
      <c r="C242" s="119" t="s">
        <v>494</v>
      </c>
      <c r="D242" s="41" t="s">
        <v>1073</v>
      </c>
      <c r="E242" s="41" t="s">
        <v>1073</v>
      </c>
      <c r="F242" s="41" t="s">
        <v>1074</v>
      </c>
      <c r="G242" s="41" t="s">
        <v>1075</v>
      </c>
      <c r="H242" s="4">
        <v>1</v>
      </c>
      <c r="I242" s="7"/>
      <c r="J242" s="4">
        <f t="shared" si="8"/>
        <v>5</v>
      </c>
      <c r="K242" s="4"/>
      <c r="L242" s="41" t="s">
        <v>2</v>
      </c>
      <c r="M242" s="7"/>
      <c r="N242" s="46" t="s">
        <v>474</v>
      </c>
      <c r="O242" s="14"/>
      <c r="P242" s="32"/>
      <c r="Q242" s="51"/>
      <c r="R242" s="56"/>
    </row>
    <row r="243" spans="1:18" ht="17">
      <c r="A243" s="22">
        <v>242</v>
      </c>
      <c r="B243" s="6"/>
      <c r="C243" s="119" t="s">
        <v>494</v>
      </c>
      <c r="D243" s="41" t="s">
        <v>1076</v>
      </c>
      <c r="E243" s="41" t="s">
        <v>1076</v>
      </c>
      <c r="F243" s="41" t="s">
        <v>1077</v>
      </c>
      <c r="G243" s="41" t="s">
        <v>1078</v>
      </c>
      <c r="H243" s="4">
        <v>1</v>
      </c>
      <c r="I243" s="7"/>
      <c r="J243" s="4">
        <f t="shared" si="8"/>
        <v>5</v>
      </c>
      <c r="K243" s="4"/>
      <c r="L243" s="41" t="s">
        <v>2</v>
      </c>
      <c r="M243" s="7"/>
      <c r="N243" s="46" t="s">
        <v>474</v>
      </c>
      <c r="O243" s="14"/>
      <c r="P243" s="32"/>
      <c r="Q243" s="51"/>
      <c r="R243" s="56"/>
    </row>
    <row r="244" spans="1:18" s="2" customFormat="1" ht="17">
      <c r="A244" s="22">
        <v>243</v>
      </c>
      <c r="B244" s="9"/>
      <c r="C244" s="44" t="s">
        <v>1079</v>
      </c>
      <c r="D244" s="45" t="s">
        <v>1079</v>
      </c>
      <c r="E244" s="45" t="s">
        <v>1080</v>
      </c>
      <c r="F244" s="45" t="s">
        <v>1081</v>
      </c>
      <c r="G244" s="45" t="s">
        <v>461</v>
      </c>
      <c r="H244" s="12">
        <v>1</v>
      </c>
      <c r="I244" s="29" t="s">
        <v>1082</v>
      </c>
      <c r="J244" s="12">
        <f t="shared" si="8"/>
        <v>5</v>
      </c>
      <c r="K244" s="12"/>
      <c r="L244" s="45" t="s">
        <v>2</v>
      </c>
      <c r="M244" s="45" t="s">
        <v>60</v>
      </c>
      <c r="N244" s="16" t="s">
        <v>445</v>
      </c>
      <c r="O244" s="17"/>
      <c r="P244" s="17"/>
      <c r="Q244" s="52"/>
      <c r="R244" s="57"/>
    </row>
    <row r="245" spans="1:18" ht="17">
      <c r="A245" s="22">
        <v>244</v>
      </c>
      <c r="B245" s="6"/>
      <c r="C245" s="43" t="s">
        <v>1083</v>
      </c>
      <c r="D245" s="41" t="s">
        <v>1083</v>
      </c>
      <c r="E245" s="41" t="s">
        <v>1084</v>
      </c>
      <c r="F245" s="41" t="s">
        <v>1085</v>
      </c>
      <c r="G245" s="41" t="s">
        <v>466</v>
      </c>
      <c r="H245" s="4">
        <v>1</v>
      </c>
      <c r="I245" s="19" t="s">
        <v>1086</v>
      </c>
      <c r="J245" s="4">
        <f t="shared" si="8"/>
        <v>5</v>
      </c>
      <c r="K245" s="4"/>
      <c r="L245" s="41" t="s">
        <v>1</v>
      </c>
      <c r="M245" s="41" t="s">
        <v>60</v>
      </c>
      <c r="N245" s="15" t="s">
        <v>50</v>
      </c>
      <c r="O245" s="14"/>
      <c r="P245" s="32"/>
      <c r="Q245" s="51"/>
      <c r="R245" s="56"/>
    </row>
    <row r="246" spans="1:18" ht="17">
      <c r="A246" s="22">
        <v>245</v>
      </c>
      <c r="B246" s="6"/>
      <c r="C246" s="43" t="s">
        <v>1087</v>
      </c>
      <c r="D246" s="41" t="s">
        <v>1087</v>
      </c>
      <c r="E246" s="41" t="s">
        <v>1088</v>
      </c>
      <c r="F246" s="41" t="s">
        <v>1089</v>
      </c>
      <c r="G246" s="41" t="s">
        <v>1090</v>
      </c>
      <c r="H246" s="4">
        <v>1</v>
      </c>
      <c r="I246" s="19" t="s">
        <v>1091</v>
      </c>
      <c r="J246" s="4">
        <f t="shared" si="8"/>
        <v>5</v>
      </c>
      <c r="K246" s="4"/>
      <c r="L246" s="41" t="s">
        <v>1</v>
      </c>
      <c r="M246" s="7"/>
      <c r="N246" s="15" t="s">
        <v>50</v>
      </c>
      <c r="O246" s="14"/>
      <c r="P246" s="32"/>
      <c r="Q246" s="51"/>
      <c r="R246" s="56"/>
    </row>
    <row r="247" spans="1:18" s="2" customFormat="1" ht="17">
      <c r="A247" s="22">
        <v>246</v>
      </c>
      <c r="B247" s="9"/>
      <c r="C247" s="44" t="s">
        <v>1092</v>
      </c>
      <c r="D247" s="45" t="s">
        <v>1092</v>
      </c>
      <c r="E247" s="45" t="s">
        <v>1093</v>
      </c>
      <c r="F247" s="45" t="s">
        <v>1094</v>
      </c>
      <c r="G247" s="45" t="s">
        <v>461</v>
      </c>
      <c r="H247" s="12">
        <v>2</v>
      </c>
      <c r="I247" s="45" t="s">
        <v>1095</v>
      </c>
      <c r="J247" s="12">
        <f t="shared" si="8"/>
        <v>10</v>
      </c>
      <c r="K247" s="12"/>
      <c r="L247" s="45" t="s">
        <v>2</v>
      </c>
      <c r="M247" s="10"/>
      <c r="N247" s="16" t="s">
        <v>445</v>
      </c>
      <c r="O247" s="17"/>
      <c r="P247" s="17"/>
      <c r="Q247" s="52"/>
      <c r="R247" s="57"/>
    </row>
    <row r="248" spans="1:18">
      <c r="A248" s="22">
        <v>247</v>
      </c>
      <c r="B248" s="23"/>
      <c r="C248" s="43" t="s">
        <v>1096</v>
      </c>
      <c r="D248" s="49" t="s">
        <v>1096</v>
      </c>
      <c r="E248" s="49" t="s">
        <v>1097</v>
      </c>
      <c r="F248" s="49" t="s">
        <v>1098</v>
      </c>
      <c r="G248" s="49" t="s">
        <v>1099</v>
      </c>
      <c r="H248" s="25">
        <v>1</v>
      </c>
      <c r="I248" s="33" t="s">
        <v>1100</v>
      </c>
      <c r="J248" s="25">
        <f t="shared" si="8"/>
        <v>5</v>
      </c>
      <c r="K248" s="25"/>
      <c r="L248" s="49" t="s">
        <v>1</v>
      </c>
      <c r="M248" s="24"/>
      <c r="N248" s="49" t="s">
        <v>1101</v>
      </c>
      <c r="O248" s="72"/>
      <c r="P248" s="32"/>
      <c r="Q248" s="49" t="s">
        <v>1257</v>
      </c>
      <c r="R248" s="56"/>
    </row>
    <row r="249" spans="1:18">
      <c r="A249" s="22">
        <v>248</v>
      </c>
      <c r="B249" s="23"/>
      <c r="C249" s="43" t="s">
        <v>1102</v>
      </c>
      <c r="D249" s="49" t="s">
        <v>1102</v>
      </c>
      <c r="E249" s="49" t="s">
        <v>1103</v>
      </c>
      <c r="F249" s="49" t="s">
        <v>1104</v>
      </c>
      <c r="G249" s="49" t="s">
        <v>1105</v>
      </c>
      <c r="H249" s="25">
        <v>1</v>
      </c>
      <c r="I249" s="33" t="s">
        <v>1091</v>
      </c>
      <c r="J249" s="25">
        <f t="shared" si="8"/>
        <v>5</v>
      </c>
      <c r="K249" s="25">
        <v>10</v>
      </c>
      <c r="L249" s="49" t="s">
        <v>1</v>
      </c>
      <c r="M249" s="24"/>
      <c r="N249" s="49" t="s">
        <v>28</v>
      </c>
      <c r="O249" s="72"/>
      <c r="P249" s="32"/>
      <c r="Q249" s="49" t="s">
        <v>1102</v>
      </c>
      <c r="R249" s="56">
        <v>10</v>
      </c>
    </row>
    <row r="250" spans="1:18">
      <c r="A250" s="22">
        <v>249</v>
      </c>
      <c r="B250" s="23"/>
      <c r="C250" s="43" t="s">
        <v>1106</v>
      </c>
      <c r="D250" s="49" t="s">
        <v>1106</v>
      </c>
      <c r="E250" s="49" t="s">
        <v>1107</v>
      </c>
      <c r="F250" s="49" t="s">
        <v>1108</v>
      </c>
      <c r="G250" s="49" t="s">
        <v>1109</v>
      </c>
      <c r="H250" s="25">
        <v>1</v>
      </c>
      <c r="I250" s="33" t="s">
        <v>1091</v>
      </c>
      <c r="J250" s="25">
        <f t="shared" si="8"/>
        <v>5</v>
      </c>
      <c r="K250" s="25">
        <v>10</v>
      </c>
      <c r="L250" s="49" t="s">
        <v>1</v>
      </c>
      <c r="M250" s="24"/>
      <c r="N250" s="49" t="s">
        <v>28</v>
      </c>
      <c r="O250" s="72"/>
      <c r="P250" s="32"/>
      <c r="Q250" s="49" t="s">
        <v>1106</v>
      </c>
      <c r="R250" s="56">
        <v>10</v>
      </c>
    </row>
    <row r="251" spans="1:18" ht="17">
      <c r="A251" s="22">
        <v>250</v>
      </c>
      <c r="B251" s="6"/>
      <c r="C251" s="43" t="s">
        <v>1110</v>
      </c>
      <c r="D251" s="41" t="s">
        <v>1110</v>
      </c>
      <c r="E251" s="41" t="s">
        <v>1093</v>
      </c>
      <c r="F251" s="41" t="s">
        <v>1111</v>
      </c>
      <c r="G251" s="41" t="s">
        <v>461</v>
      </c>
      <c r="H251" s="4">
        <v>1</v>
      </c>
      <c r="I251" s="19" t="s">
        <v>1095</v>
      </c>
      <c r="J251" s="4">
        <f t="shared" si="8"/>
        <v>5</v>
      </c>
      <c r="K251" s="4"/>
      <c r="L251" s="41" t="s">
        <v>1</v>
      </c>
      <c r="M251" s="7"/>
      <c r="N251" s="15" t="s">
        <v>50</v>
      </c>
      <c r="O251" s="14"/>
      <c r="P251" s="32"/>
      <c r="Q251" s="51"/>
      <c r="R251" s="56"/>
    </row>
    <row r="252" spans="1:18">
      <c r="A252" s="22">
        <v>251</v>
      </c>
      <c r="B252" s="23"/>
      <c r="C252" s="43" t="s">
        <v>1112</v>
      </c>
      <c r="D252" s="49" t="s">
        <v>1112</v>
      </c>
      <c r="E252" s="49" t="s">
        <v>1113</v>
      </c>
      <c r="F252" s="49" t="s">
        <v>1114</v>
      </c>
      <c r="G252" s="49" t="s">
        <v>1115</v>
      </c>
      <c r="H252" s="25">
        <v>5</v>
      </c>
      <c r="I252" s="49" t="s">
        <v>471</v>
      </c>
      <c r="J252" s="25">
        <f t="shared" si="8"/>
        <v>25</v>
      </c>
      <c r="K252" s="25">
        <v>20</v>
      </c>
      <c r="L252" s="49" t="s">
        <v>1</v>
      </c>
      <c r="M252" s="24"/>
      <c r="N252" s="49" t="s">
        <v>28</v>
      </c>
      <c r="O252" s="72"/>
      <c r="P252" s="32"/>
      <c r="Q252" s="49" t="s">
        <v>1112</v>
      </c>
      <c r="R252" s="56">
        <v>20</v>
      </c>
    </row>
    <row r="253" spans="1:18">
      <c r="A253" s="22">
        <v>252</v>
      </c>
      <c r="B253" s="23" t="s">
        <v>1311</v>
      </c>
      <c r="C253" s="43" t="s">
        <v>1116</v>
      </c>
      <c r="D253" s="49" t="s">
        <v>1310</v>
      </c>
      <c r="E253" s="49" t="s">
        <v>1117</v>
      </c>
      <c r="F253" s="49" t="s">
        <v>1118</v>
      </c>
      <c r="G253" s="49" t="s">
        <v>1090</v>
      </c>
      <c r="H253" s="25">
        <v>2</v>
      </c>
      <c r="I253" s="49" t="s">
        <v>1119</v>
      </c>
      <c r="J253" s="25">
        <f t="shared" si="8"/>
        <v>10</v>
      </c>
      <c r="K253" s="25"/>
      <c r="L253" s="49" t="s">
        <v>1</v>
      </c>
      <c r="M253" s="49" t="s">
        <v>60</v>
      </c>
      <c r="N253" s="46" t="s">
        <v>1120</v>
      </c>
      <c r="O253" s="72"/>
      <c r="P253" s="32"/>
      <c r="Q253" s="56"/>
      <c r="R253" s="56"/>
    </row>
    <row r="254" spans="1:18">
      <c r="A254" s="22">
        <v>253</v>
      </c>
      <c r="B254" s="23"/>
      <c r="C254" s="43" t="s">
        <v>1121</v>
      </c>
      <c r="D254" s="49" t="s">
        <v>1121</v>
      </c>
      <c r="E254" s="49" t="s">
        <v>1122</v>
      </c>
      <c r="F254" s="49" t="s">
        <v>1123</v>
      </c>
      <c r="G254" s="49" t="s">
        <v>466</v>
      </c>
      <c r="H254" s="25">
        <v>2</v>
      </c>
      <c r="I254" s="49" t="s">
        <v>1124</v>
      </c>
      <c r="J254" s="25">
        <f t="shared" si="8"/>
        <v>10</v>
      </c>
      <c r="K254" s="25"/>
      <c r="L254" s="49" t="s">
        <v>1</v>
      </c>
      <c r="M254" s="24"/>
      <c r="N254" s="49" t="s">
        <v>209</v>
      </c>
      <c r="O254" s="72"/>
      <c r="P254" s="32"/>
      <c r="Q254" s="56" t="s">
        <v>1283</v>
      </c>
      <c r="R254" s="56">
        <v>11</v>
      </c>
    </row>
    <row r="255" spans="1:18" s="2" customFormat="1" ht="17">
      <c r="A255" s="22">
        <v>254</v>
      </c>
      <c r="B255" s="9"/>
      <c r="C255" s="11" t="s">
        <v>1125</v>
      </c>
      <c r="D255" s="44" t="s">
        <v>1126</v>
      </c>
      <c r="E255" s="10"/>
      <c r="F255" s="10" t="s">
        <v>1127</v>
      </c>
      <c r="G255" s="44" t="s">
        <v>466</v>
      </c>
      <c r="H255" s="12">
        <v>1</v>
      </c>
      <c r="I255" s="10" t="s">
        <v>1091</v>
      </c>
      <c r="J255" s="12">
        <v>5</v>
      </c>
      <c r="K255" s="12"/>
      <c r="L255" s="10" t="s">
        <v>1</v>
      </c>
      <c r="M255" s="10"/>
      <c r="N255" s="16" t="s">
        <v>54</v>
      </c>
      <c r="O255" s="17"/>
      <c r="P255" s="17"/>
      <c r="Q255" s="52"/>
      <c r="R255" s="57"/>
    </row>
    <row r="256" spans="1:18">
      <c r="A256" s="22">
        <v>255</v>
      </c>
      <c r="B256" s="23"/>
      <c r="C256" s="43" t="s">
        <v>1128</v>
      </c>
      <c r="D256" s="49" t="s">
        <v>1128</v>
      </c>
      <c r="E256" s="49" t="s">
        <v>1129</v>
      </c>
      <c r="F256" s="49" t="s">
        <v>1130</v>
      </c>
      <c r="G256" s="49" t="s">
        <v>466</v>
      </c>
      <c r="H256" s="25">
        <v>2</v>
      </c>
      <c r="I256" s="49" t="s">
        <v>471</v>
      </c>
      <c r="J256" s="25">
        <f t="shared" ref="J256:J265" si="9">5*H256</f>
        <v>10</v>
      </c>
      <c r="K256" s="25">
        <v>10</v>
      </c>
      <c r="L256" s="49" t="s">
        <v>1</v>
      </c>
      <c r="M256" s="24"/>
      <c r="N256" s="49" t="s">
        <v>28</v>
      </c>
      <c r="O256" s="72"/>
      <c r="P256" s="32"/>
      <c r="Q256" s="49" t="s">
        <v>1128</v>
      </c>
      <c r="R256" s="56">
        <v>10</v>
      </c>
    </row>
    <row r="257" spans="1:18">
      <c r="A257" s="22">
        <v>256</v>
      </c>
      <c r="B257" s="23"/>
      <c r="C257" s="43" t="s">
        <v>1131</v>
      </c>
      <c r="D257" s="49" t="s">
        <v>1131</v>
      </c>
      <c r="E257" s="49" t="s">
        <v>1132</v>
      </c>
      <c r="F257" s="49" t="s">
        <v>1133</v>
      </c>
      <c r="G257" s="49" t="s">
        <v>1134</v>
      </c>
      <c r="H257" s="25">
        <v>1</v>
      </c>
      <c r="I257" s="33" t="s">
        <v>413</v>
      </c>
      <c r="J257" s="25">
        <f t="shared" si="9"/>
        <v>5</v>
      </c>
      <c r="K257" s="25"/>
      <c r="L257" s="49" t="s">
        <v>1</v>
      </c>
      <c r="M257" s="24"/>
      <c r="N257" s="49" t="s">
        <v>209</v>
      </c>
      <c r="O257" s="72"/>
      <c r="P257" s="32"/>
      <c r="Q257" s="56" t="s">
        <v>1284</v>
      </c>
      <c r="R257" s="56">
        <v>5</v>
      </c>
    </row>
    <row r="258" spans="1:18">
      <c r="A258" s="22">
        <v>257</v>
      </c>
      <c r="B258" s="23"/>
      <c r="C258" s="43" t="s">
        <v>1135</v>
      </c>
      <c r="D258" s="49" t="s">
        <v>1135</v>
      </c>
      <c r="E258" s="49" t="s">
        <v>1136</v>
      </c>
      <c r="F258" s="49" t="s">
        <v>1137</v>
      </c>
      <c r="G258" s="49" t="s">
        <v>1138</v>
      </c>
      <c r="H258" s="25">
        <v>1</v>
      </c>
      <c r="I258" s="33" t="s">
        <v>413</v>
      </c>
      <c r="J258" s="25">
        <f t="shared" si="9"/>
        <v>5</v>
      </c>
      <c r="K258" s="25"/>
      <c r="L258" s="49" t="s">
        <v>1</v>
      </c>
      <c r="M258" s="24"/>
      <c r="N258" s="49" t="s">
        <v>209</v>
      </c>
      <c r="O258" s="72"/>
      <c r="P258" s="32"/>
      <c r="Q258" s="56" t="s">
        <v>1285</v>
      </c>
      <c r="R258" s="56">
        <v>5</v>
      </c>
    </row>
    <row r="259" spans="1:18">
      <c r="A259" s="22">
        <v>258</v>
      </c>
      <c r="B259" s="23" t="s">
        <v>1313</v>
      </c>
      <c r="C259" s="43" t="s">
        <v>1312</v>
      </c>
      <c r="D259" s="49" t="s">
        <v>1139</v>
      </c>
      <c r="E259" s="49" t="s">
        <v>1140</v>
      </c>
      <c r="F259" s="49" t="s">
        <v>1141</v>
      </c>
      <c r="G259" s="49" t="s">
        <v>1142</v>
      </c>
      <c r="H259" s="25">
        <v>1</v>
      </c>
      <c r="I259" s="49" t="s">
        <v>1119</v>
      </c>
      <c r="J259" s="25">
        <f t="shared" si="9"/>
        <v>5</v>
      </c>
      <c r="K259" s="25"/>
      <c r="L259" s="49" t="s">
        <v>1</v>
      </c>
      <c r="M259" s="49" t="s">
        <v>60</v>
      </c>
      <c r="N259" s="46" t="s">
        <v>1120</v>
      </c>
      <c r="O259" s="72"/>
      <c r="P259" s="32"/>
      <c r="Q259" s="56"/>
      <c r="R259" s="56"/>
    </row>
    <row r="260" spans="1:18" ht="17">
      <c r="A260" s="22">
        <v>259</v>
      </c>
      <c r="B260" s="6"/>
      <c r="C260" s="43" t="s">
        <v>1143</v>
      </c>
      <c r="D260" s="41" t="s">
        <v>1143</v>
      </c>
      <c r="E260" s="41" t="s">
        <v>1144</v>
      </c>
      <c r="F260" s="41" t="s">
        <v>1145</v>
      </c>
      <c r="G260" s="41" t="s">
        <v>1146</v>
      </c>
      <c r="H260" s="4">
        <v>1</v>
      </c>
      <c r="I260" s="19" t="s">
        <v>392</v>
      </c>
      <c r="J260" s="4">
        <f t="shared" si="9"/>
        <v>5</v>
      </c>
      <c r="K260" s="4"/>
      <c r="L260" s="41" t="s">
        <v>2</v>
      </c>
      <c r="M260" s="41" t="s">
        <v>60</v>
      </c>
      <c r="N260" s="15" t="s">
        <v>50</v>
      </c>
      <c r="O260" s="14"/>
      <c r="P260" s="32"/>
      <c r="Q260" s="51"/>
      <c r="R260" s="56"/>
    </row>
    <row r="261" spans="1:18">
      <c r="A261" s="22">
        <v>260</v>
      </c>
      <c r="B261" s="23"/>
      <c r="C261" s="43" t="s">
        <v>1147</v>
      </c>
      <c r="D261" s="49" t="s">
        <v>1147</v>
      </c>
      <c r="E261" s="49" t="s">
        <v>1148</v>
      </c>
      <c r="F261" s="49" t="s">
        <v>1149</v>
      </c>
      <c r="G261" s="49" t="s">
        <v>1150</v>
      </c>
      <c r="H261" s="25">
        <v>1</v>
      </c>
      <c r="I261" s="49" t="s">
        <v>392</v>
      </c>
      <c r="J261" s="25">
        <f t="shared" si="9"/>
        <v>5</v>
      </c>
      <c r="K261" s="25">
        <v>5</v>
      </c>
      <c r="L261" s="49" t="s">
        <v>1</v>
      </c>
      <c r="M261" s="24"/>
      <c r="N261" s="49" t="s">
        <v>1151</v>
      </c>
      <c r="O261" s="72"/>
      <c r="P261" s="32"/>
      <c r="Q261" s="56" t="s">
        <v>1286</v>
      </c>
      <c r="R261" s="56">
        <v>5</v>
      </c>
    </row>
    <row r="262" spans="1:18">
      <c r="A262" s="22">
        <v>261</v>
      </c>
      <c r="B262" s="23"/>
      <c r="C262" s="43" t="s">
        <v>1152</v>
      </c>
      <c r="D262" s="49" t="s">
        <v>1153</v>
      </c>
      <c r="E262" s="49" t="s">
        <v>1154</v>
      </c>
      <c r="F262" s="49" t="s">
        <v>1155</v>
      </c>
      <c r="G262" s="49" t="s">
        <v>1156</v>
      </c>
      <c r="H262" s="25">
        <v>1</v>
      </c>
      <c r="I262" s="36" t="s">
        <v>1157</v>
      </c>
      <c r="J262" s="25">
        <f t="shared" si="9"/>
        <v>5</v>
      </c>
      <c r="K262" s="37">
        <v>10</v>
      </c>
      <c r="L262" s="49" t="s">
        <v>1</v>
      </c>
      <c r="M262" s="24"/>
      <c r="N262" s="49" t="s">
        <v>1158</v>
      </c>
      <c r="O262" s="72"/>
      <c r="P262" s="32"/>
      <c r="Q262" s="55" t="s">
        <v>1152</v>
      </c>
      <c r="R262" s="56">
        <v>10</v>
      </c>
    </row>
    <row r="263" spans="1:18">
      <c r="A263" s="22">
        <v>262</v>
      </c>
      <c r="B263" s="23"/>
      <c r="C263" s="43" t="s">
        <v>1159</v>
      </c>
      <c r="D263" s="49" t="s">
        <v>1159</v>
      </c>
      <c r="E263" s="49" t="s">
        <v>1160</v>
      </c>
      <c r="F263" s="49" t="s">
        <v>1161</v>
      </c>
      <c r="G263" s="49" t="s">
        <v>1162</v>
      </c>
      <c r="H263" s="25">
        <v>1</v>
      </c>
      <c r="I263" s="33" t="s">
        <v>360</v>
      </c>
      <c r="J263" s="25">
        <f t="shared" si="9"/>
        <v>5</v>
      </c>
      <c r="K263" s="25"/>
      <c r="L263" s="49" t="s">
        <v>1</v>
      </c>
      <c r="M263" s="24"/>
      <c r="N263" s="49" t="s">
        <v>209</v>
      </c>
      <c r="O263" s="72"/>
      <c r="P263" s="32"/>
      <c r="Q263" s="49" t="s">
        <v>1159</v>
      </c>
      <c r="R263" s="56" t="s">
        <v>1287</v>
      </c>
    </row>
    <row r="264" spans="1:18">
      <c r="A264" s="22">
        <v>263</v>
      </c>
      <c r="B264" s="23"/>
      <c r="C264" s="43" t="s">
        <v>1163</v>
      </c>
      <c r="D264" s="49" t="s">
        <v>1163</v>
      </c>
      <c r="E264" s="49" t="s">
        <v>1164</v>
      </c>
      <c r="F264" s="49" t="s">
        <v>1165</v>
      </c>
      <c r="G264" s="49" t="s">
        <v>1166</v>
      </c>
      <c r="H264" s="25">
        <v>1</v>
      </c>
      <c r="I264" s="49" t="s">
        <v>1167</v>
      </c>
      <c r="J264" s="25">
        <f t="shared" si="9"/>
        <v>5</v>
      </c>
      <c r="K264" s="25">
        <v>10</v>
      </c>
      <c r="L264" s="49" t="s">
        <v>1</v>
      </c>
      <c r="M264" s="24"/>
      <c r="N264" s="49" t="s">
        <v>28</v>
      </c>
      <c r="O264" s="72"/>
      <c r="P264" s="32"/>
      <c r="Q264" s="49" t="s">
        <v>1163</v>
      </c>
      <c r="R264" s="56">
        <v>10</v>
      </c>
    </row>
    <row r="265" spans="1:18">
      <c r="A265" s="22">
        <v>264</v>
      </c>
      <c r="B265" s="23"/>
      <c r="C265" s="43" t="s">
        <v>1234</v>
      </c>
      <c r="D265" s="49" t="s">
        <v>1168</v>
      </c>
      <c r="E265" s="49" t="s">
        <v>1169</v>
      </c>
      <c r="F265" s="49" t="s">
        <v>1170</v>
      </c>
      <c r="G265" s="49" t="s">
        <v>1171</v>
      </c>
      <c r="H265" s="25">
        <v>1</v>
      </c>
      <c r="I265" s="49" t="s">
        <v>1167</v>
      </c>
      <c r="J265" s="25">
        <f t="shared" si="9"/>
        <v>5</v>
      </c>
      <c r="K265" s="25">
        <v>50</v>
      </c>
      <c r="L265" s="49" t="s">
        <v>1</v>
      </c>
      <c r="M265" s="24"/>
      <c r="N265" s="49" t="s">
        <v>28</v>
      </c>
      <c r="O265" s="72"/>
      <c r="P265" s="32"/>
      <c r="Q265" s="49" t="s">
        <v>1235</v>
      </c>
      <c r="R265" s="56">
        <v>50</v>
      </c>
    </row>
    <row r="266" spans="1:18" ht="17">
      <c r="A266" s="22">
        <v>265</v>
      </c>
      <c r="B266" s="6"/>
      <c r="C266" s="43" t="s">
        <v>1172</v>
      </c>
      <c r="D266" s="41" t="s">
        <v>1173</v>
      </c>
      <c r="E266" s="41" t="s">
        <v>1174</v>
      </c>
      <c r="F266" s="41" t="s">
        <v>1175</v>
      </c>
      <c r="G266" s="41" t="s">
        <v>1090</v>
      </c>
      <c r="H266" s="4">
        <v>2</v>
      </c>
      <c r="I266" s="19" t="s">
        <v>392</v>
      </c>
      <c r="J266" s="4">
        <f t="shared" ref="J266:J279" si="10">5*H266</f>
        <v>10</v>
      </c>
      <c r="K266" s="4"/>
      <c r="L266" s="41" t="s">
        <v>1</v>
      </c>
      <c r="M266" s="41" t="s">
        <v>60</v>
      </c>
      <c r="N266" s="15" t="s">
        <v>50</v>
      </c>
      <c r="O266" s="14"/>
      <c r="P266" s="32"/>
      <c r="Q266" s="51"/>
      <c r="R266" s="56"/>
    </row>
    <row r="267" spans="1:18" ht="17">
      <c r="A267" s="22">
        <v>266</v>
      </c>
      <c r="B267" s="6"/>
      <c r="C267" s="43" t="s">
        <v>1176</v>
      </c>
      <c r="D267" s="41" t="s">
        <v>1176</v>
      </c>
      <c r="E267" s="41" t="s">
        <v>1177</v>
      </c>
      <c r="F267" s="41" t="s">
        <v>1178</v>
      </c>
      <c r="G267" s="41" t="s">
        <v>1179</v>
      </c>
      <c r="H267" s="4">
        <v>1</v>
      </c>
      <c r="I267" s="19" t="s">
        <v>471</v>
      </c>
      <c r="J267" s="4">
        <f t="shared" si="10"/>
        <v>5</v>
      </c>
      <c r="K267" s="4"/>
      <c r="L267" s="41" t="s">
        <v>1</v>
      </c>
      <c r="M267" s="7"/>
      <c r="N267" s="15" t="s">
        <v>50</v>
      </c>
      <c r="O267" s="14"/>
      <c r="P267" s="32"/>
      <c r="Q267" s="51"/>
      <c r="R267" s="56"/>
    </row>
    <row r="268" spans="1:18">
      <c r="A268" s="22">
        <v>267</v>
      </c>
      <c r="B268" s="23"/>
      <c r="C268" s="43" t="s">
        <v>1180</v>
      </c>
      <c r="D268" s="49" t="s">
        <v>1180</v>
      </c>
      <c r="E268" s="49" t="s">
        <v>1181</v>
      </c>
      <c r="F268" s="49" t="s">
        <v>1182</v>
      </c>
      <c r="G268" s="49" t="s">
        <v>1183</v>
      </c>
      <c r="H268" s="25">
        <v>1</v>
      </c>
      <c r="I268" s="33" t="s">
        <v>1184</v>
      </c>
      <c r="J268" s="25">
        <f t="shared" si="10"/>
        <v>5</v>
      </c>
      <c r="K268" s="25">
        <v>3</v>
      </c>
      <c r="L268" s="49" t="s">
        <v>1</v>
      </c>
      <c r="M268" s="24"/>
      <c r="N268" s="49" t="s">
        <v>1185</v>
      </c>
      <c r="O268" s="72"/>
      <c r="P268" s="32"/>
      <c r="Q268" s="49" t="s">
        <v>1180</v>
      </c>
      <c r="R268" s="56">
        <v>3</v>
      </c>
    </row>
    <row r="269" spans="1:18">
      <c r="A269" s="22">
        <v>268</v>
      </c>
      <c r="B269" s="23"/>
      <c r="C269" s="43" t="s">
        <v>1186</v>
      </c>
      <c r="D269" s="49" t="s">
        <v>1186</v>
      </c>
      <c r="E269" s="49" t="s">
        <v>1187</v>
      </c>
      <c r="F269" s="49" t="s">
        <v>1188</v>
      </c>
      <c r="G269" s="49" t="s">
        <v>1189</v>
      </c>
      <c r="H269" s="25">
        <v>2</v>
      </c>
      <c r="I269" s="49" t="s">
        <v>1167</v>
      </c>
      <c r="J269" s="25">
        <f t="shared" si="10"/>
        <v>10</v>
      </c>
      <c r="K269" s="25">
        <v>10</v>
      </c>
      <c r="L269" s="49" t="s">
        <v>216</v>
      </c>
      <c r="M269" s="24"/>
      <c r="N269" s="49" t="s">
        <v>28</v>
      </c>
      <c r="O269" s="72"/>
      <c r="P269" s="32"/>
      <c r="Q269" s="49" t="s">
        <v>1186</v>
      </c>
      <c r="R269" s="56">
        <v>10</v>
      </c>
    </row>
    <row r="270" spans="1:18" ht="17">
      <c r="A270" s="22">
        <v>269</v>
      </c>
      <c r="B270" s="6"/>
      <c r="C270" s="43" t="s">
        <v>1190</v>
      </c>
      <c r="D270" s="41" t="s">
        <v>1190</v>
      </c>
      <c r="E270" s="41" t="s">
        <v>1191</v>
      </c>
      <c r="F270" s="41" t="s">
        <v>1192</v>
      </c>
      <c r="G270" s="41" t="s">
        <v>1193</v>
      </c>
      <c r="H270" s="4">
        <v>2</v>
      </c>
      <c r="I270" s="19" t="s">
        <v>408</v>
      </c>
      <c r="J270" s="4">
        <f t="shared" si="10"/>
        <v>10</v>
      </c>
      <c r="K270" s="4"/>
      <c r="L270" s="41" t="s">
        <v>1</v>
      </c>
      <c r="M270" s="41" t="s">
        <v>60</v>
      </c>
      <c r="N270" s="15" t="s">
        <v>50</v>
      </c>
      <c r="O270" s="14"/>
      <c r="P270" s="32"/>
      <c r="Q270" s="51"/>
      <c r="R270" s="56"/>
    </row>
    <row r="271" spans="1:18" ht="17">
      <c r="A271" s="22">
        <v>270</v>
      </c>
      <c r="B271" s="6"/>
      <c r="C271" s="43" t="s">
        <v>1194</v>
      </c>
      <c r="D271" s="41" t="s">
        <v>1194</v>
      </c>
      <c r="E271" s="41" t="s">
        <v>1195</v>
      </c>
      <c r="F271" s="41" t="s">
        <v>1196</v>
      </c>
      <c r="G271" s="41" t="s">
        <v>1197</v>
      </c>
      <c r="H271" s="4">
        <v>1</v>
      </c>
      <c r="I271" s="19" t="s">
        <v>1198</v>
      </c>
      <c r="J271" s="4">
        <f t="shared" si="10"/>
        <v>5</v>
      </c>
      <c r="K271" s="4"/>
      <c r="L271" s="41" t="s">
        <v>1</v>
      </c>
      <c r="M271" s="41" t="s">
        <v>60</v>
      </c>
      <c r="N271" s="15" t="s">
        <v>50</v>
      </c>
      <c r="O271" s="14"/>
      <c r="P271" s="32"/>
      <c r="Q271" s="51"/>
      <c r="R271" s="56"/>
    </row>
    <row r="272" spans="1:18" ht="17">
      <c r="A272" s="22">
        <v>271</v>
      </c>
      <c r="B272" s="6"/>
      <c r="C272" s="43" t="s">
        <v>1199</v>
      </c>
      <c r="D272" s="41" t="s">
        <v>1199</v>
      </c>
      <c r="E272" s="41" t="s">
        <v>1200</v>
      </c>
      <c r="F272" s="41" t="s">
        <v>1201</v>
      </c>
      <c r="G272" s="41" t="s">
        <v>540</v>
      </c>
      <c r="H272" s="4">
        <v>2</v>
      </c>
      <c r="I272" s="19" t="s">
        <v>408</v>
      </c>
      <c r="J272" s="4">
        <f t="shared" si="10"/>
        <v>10</v>
      </c>
      <c r="K272" s="4"/>
      <c r="L272" s="41" t="s">
        <v>1</v>
      </c>
      <c r="M272" s="7"/>
      <c r="N272" s="15" t="s">
        <v>50</v>
      </c>
      <c r="O272" s="14"/>
      <c r="P272" s="32"/>
      <c r="Q272" s="51"/>
      <c r="R272" s="56"/>
    </row>
    <row r="273" spans="1:18" s="2" customFormat="1" ht="17">
      <c r="A273" s="22">
        <v>272</v>
      </c>
      <c r="B273" s="9"/>
      <c r="C273" s="44" t="s">
        <v>1202</v>
      </c>
      <c r="D273" s="45" t="s">
        <v>1202</v>
      </c>
      <c r="E273" s="45" t="s">
        <v>1203</v>
      </c>
      <c r="F273" s="45" t="s">
        <v>1204</v>
      </c>
      <c r="G273" s="45" t="s">
        <v>1197</v>
      </c>
      <c r="H273" s="12">
        <v>2</v>
      </c>
      <c r="I273" s="29" t="s">
        <v>1205</v>
      </c>
      <c r="J273" s="12">
        <f t="shared" si="10"/>
        <v>10</v>
      </c>
      <c r="K273" s="12"/>
      <c r="L273" s="45" t="s">
        <v>2</v>
      </c>
      <c r="M273" s="45" t="s">
        <v>60</v>
      </c>
      <c r="N273" s="16" t="s">
        <v>445</v>
      </c>
      <c r="O273" s="17"/>
      <c r="P273" s="17"/>
      <c r="Q273" s="52"/>
      <c r="R273" s="57"/>
    </row>
    <row r="274" spans="1:18" s="3" customFormat="1" ht="17">
      <c r="A274" s="22">
        <v>273</v>
      </c>
      <c r="B274" s="23"/>
      <c r="C274" s="43" t="s">
        <v>1206</v>
      </c>
      <c r="D274" s="49" t="s">
        <v>1206</v>
      </c>
      <c r="E274" s="49" t="s">
        <v>1207</v>
      </c>
      <c r="F274" s="49" t="s">
        <v>1208</v>
      </c>
      <c r="G274" s="49" t="s">
        <v>1197</v>
      </c>
      <c r="H274" s="25">
        <v>1</v>
      </c>
      <c r="I274" s="33" t="s">
        <v>1205</v>
      </c>
      <c r="J274" s="25">
        <f t="shared" si="10"/>
        <v>5</v>
      </c>
      <c r="K274" s="25"/>
      <c r="L274" s="28" t="s">
        <v>1</v>
      </c>
      <c r="M274" s="49" t="s">
        <v>60</v>
      </c>
      <c r="N274" s="31" t="s">
        <v>54</v>
      </c>
      <c r="O274" s="32"/>
      <c r="P274" s="32"/>
      <c r="Q274" s="51"/>
      <c r="R274" s="56"/>
    </row>
    <row r="275" spans="1:18" ht="17">
      <c r="A275" s="22">
        <v>274</v>
      </c>
      <c r="B275" s="6"/>
      <c r="C275" s="43" t="s">
        <v>1209</v>
      </c>
      <c r="D275" s="41" t="s">
        <v>1209</v>
      </c>
      <c r="E275" s="41" t="s">
        <v>1210</v>
      </c>
      <c r="F275" s="41" t="s">
        <v>1211</v>
      </c>
      <c r="G275" s="41" t="s">
        <v>1212</v>
      </c>
      <c r="H275" s="4">
        <v>1</v>
      </c>
      <c r="I275" s="19" t="s">
        <v>1213</v>
      </c>
      <c r="J275" s="4">
        <f t="shared" si="10"/>
        <v>5</v>
      </c>
      <c r="K275" s="4"/>
      <c r="L275" s="28" t="s">
        <v>1</v>
      </c>
      <c r="M275" s="18"/>
      <c r="N275" s="15" t="s">
        <v>50</v>
      </c>
      <c r="O275" s="14"/>
      <c r="P275" s="32"/>
      <c r="Q275" s="51"/>
      <c r="R275" s="56"/>
    </row>
    <row r="276" spans="1:18">
      <c r="A276" s="22">
        <v>275</v>
      </c>
      <c r="B276" s="23"/>
      <c r="C276" s="43" t="s">
        <v>1214</v>
      </c>
      <c r="D276" s="49" t="s">
        <v>1214</v>
      </c>
      <c r="E276" s="49" t="s">
        <v>1215</v>
      </c>
      <c r="F276" s="49" t="s">
        <v>1216</v>
      </c>
      <c r="G276" s="49" t="s">
        <v>1217</v>
      </c>
      <c r="H276" s="25">
        <v>1</v>
      </c>
      <c r="I276" s="49" t="s">
        <v>471</v>
      </c>
      <c r="J276" s="25">
        <f t="shared" si="10"/>
        <v>5</v>
      </c>
      <c r="K276" s="25">
        <v>10</v>
      </c>
      <c r="L276" s="49" t="s">
        <v>216</v>
      </c>
      <c r="M276" s="24"/>
      <c r="N276" s="49" t="s">
        <v>28</v>
      </c>
      <c r="O276" s="72"/>
      <c r="P276" s="32"/>
      <c r="Q276" s="49" t="s">
        <v>1214</v>
      </c>
      <c r="R276" s="56">
        <v>10</v>
      </c>
    </row>
    <row r="277" spans="1:18">
      <c r="A277" s="22">
        <v>276</v>
      </c>
      <c r="B277" s="23"/>
      <c r="C277" s="43" t="s">
        <v>1218</v>
      </c>
      <c r="D277" s="49" t="s">
        <v>1219</v>
      </c>
      <c r="E277" s="49" t="s">
        <v>1220</v>
      </c>
      <c r="F277" s="49" t="s">
        <v>1221</v>
      </c>
      <c r="G277" s="49" t="s">
        <v>1222</v>
      </c>
      <c r="H277" s="25">
        <v>1</v>
      </c>
      <c r="I277" s="33" t="s">
        <v>1223</v>
      </c>
      <c r="J277" s="25">
        <f t="shared" si="10"/>
        <v>5</v>
      </c>
      <c r="K277" s="25">
        <v>10</v>
      </c>
      <c r="L277" s="49" t="s">
        <v>1</v>
      </c>
      <c r="M277" s="24"/>
      <c r="N277" s="49" t="s">
        <v>1158</v>
      </c>
      <c r="O277" s="72"/>
      <c r="P277" s="32"/>
      <c r="Q277" s="49" t="s">
        <v>1218</v>
      </c>
      <c r="R277" s="56">
        <v>10</v>
      </c>
    </row>
    <row r="278" spans="1:18">
      <c r="A278" s="22">
        <v>277</v>
      </c>
      <c r="B278" s="23"/>
      <c r="C278" s="43" t="s">
        <v>1224</v>
      </c>
      <c r="D278" s="49" t="s">
        <v>1225</v>
      </c>
      <c r="E278" s="49" t="s">
        <v>1226</v>
      </c>
      <c r="F278" s="49" t="s">
        <v>1227</v>
      </c>
      <c r="G278" s="49" t="s">
        <v>1228</v>
      </c>
      <c r="H278" s="25">
        <v>1</v>
      </c>
      <c r="I278" s="49" t="s">
        <v>1157</v>
      </c>
      <c r="J278" s="25">
        <f t="shared" si="10"/>
        <v>5</v>
      </c>
      <c r="K278" s="25">
        <v>10</v>
      </c>
      <c r="L278" s="49" t="s">
        <v>1</v>
      </c>
      <c r="M278" s="24"/>
      <c r="N278" s="49" t="s">
        <v>1158</v>
      </c>
      <c r="O278" s="72"/>
      <c r="P278" s="32"/>
      <c r="Q278" s="49" t="s">
        <v>1224</v>
      </c>
      <c r="R278" s="56">
        <v>10</v>
      </c>
    </row>
    <row r="279" spans="1:18" ht="17">
      <c r="A279" s="22">
        <v>278</v>
      </c>
      <c r="B279" s="6"/>
      <c r="C279" s="43" t="s">
        <v>1229</v>
      </c>
      <c r="D279" s="41" t="s">
        <v>1229</v>
      </c>
      <c r="E279" s="41" t="s">
        <v>1230</v>
      </c>
      <c r="F279" s="41" t="s">
        <v>1231</v>
      </c>
      <c r="G279" s="41" t="s">
        <v>359</v>
      </c>
      <c r="H279" s="4">
        <v>8</v>
      </c>
      <c r="I279" s="19" t="s">
        <v>417</v>
      </c>
      <c r="J279" s="4">
        <f t="shared" si="10"/>
        <v>40</v>
      </c>
      <c r="K279" s="4"/>
      <c r="L279" s="41" t="s">
        <v>216</v>
      </c>
      <c r="M279" s="7"/>
      <c r="N279" s="15" t="s">
        <v>50</v>
      </c>
      <c r="O279" s="14"/>
      <c r="P279" s="32"/>
      <c r="Q279" s="51"/>
      <c r="R279" s="56"/>
    </row>
  </sheetData>
  <autoFilter ref="A1:R279" xr:uid="{4F310C5D-A4D6-E440-962C-85AA734C97AC}"/>
  <phoneticPr fontId="17" type="noConversion"/>
  <conditionalFormatting sqref="C30">
    <cfRule type="duplicateValues" dxfId="106" priority="67"/>
  </conditionalFormatting>
  <conditionalFormatting sqref="C34">
    <cfRule type="duplicateValues" dxfId="105" priority="65"/>
  </conditionalFormatting>
  <conditionalFormatting sqref="C38">
    <cfRule type="duplicateValues" dxfId="104" priority="68"/>
  </conditionalFormatting>
  <conditionalFormatting sqref="C39">
    <cfRule type="duplicateValues" dxfId="103" priority="64"/>
  </conditionalFormatting>
  <conditionalFormatting sqref="C40">
    <cfRule type="duplicateValues" dxfId="102" priority="73"/>
  </conditionalFormatting>
  <conditionalFormatting sqref="C41">
    <cfRule type="duplicateValues" dxfId="101" priority="62"/>
  </conditionalFormatting>
  <conditionalFormatting sqref="C42">
    <cfRule type="duplicateValues" dxfId="100" priority="60"/>
  </conditionalFormatting>
  <conditionalFormatting sqref="C43">
    <cfRule type="duplicateValues" dxfId="99" priority="59"/>
  </conditionalFormatting>
  <conditionalFormatting sqref="C52">
    <cfRule type="duplicateValues" dxfId="98" priority="58"/>
  </conditionalFormatting>
  <conditionalFormatting sqref="C53">
    <cfRule type="duplicateValues" dxfId="97" priority="70"/>
  </conditionalFormatting>
  <conditionalFormatting sqref="C54">
    <cfRule type="duplicateValues" dxfId="96" priority="57"/>
  </conditionalFormatting>
  <conditionalFormatting sqref="C55">
    <cfRule type="duplicateValues" dxfId="95" priority="56"/>
  </conditionalFormatting>
  <conditionalFormatting sqref="C56">
    <cfRule type="duplicateValues" dxfId="94" priority="55"/>
  </conditionalFormatting>
  <conditionalFormatting sqref="C85">
    <cfRule type="duplicateValues" dxfId="93" priority="54"/>
  </conditionalFormatting>
  <conditionalFormatting sqref="C119">
    <cfRule type="duplicateValues" dxfId="92" priority="53"/>
  </conditionalFormatting>
  <conditionalFormatting sqref="C142">
    <cfRule type="duplicateValues" dxfId="91" priority="79"/>
  </conditionalFormatting>
  <conditionalFormatting sqref="C143">
    <cfRule type="duplicateValues" dxfId="90" priority="75"/>
  </conditionalFormatting>
  <conditionalFormatting sqref="C145">
    <cfRule type="duplicateValues" dxfId="89" priority="77"/>
  </conditionalFormatting>
  <conditionalFormatting sqref="C147">
    <cfRule type="duplicateValues" dxfId="88" priority="74"/>
  </conditionalFormatting>
  <conditionalFormatting sqref="C170">
    <cfRule type="duplicateValues" dxfId="87" priority="109"/>
  </conditionalFormatting>
  <conditionalFormatting sqref="C171">
    <cfRule type="duplicateValues" dxfId="86" priority="106"/>
  </conditionalFormatting>
  <conditionalFormatting sqref="C172">
    <cfRule type="duplicateValues" dxfId="85" priority="102"/>
  </conditionalFormatting>
  <conditionalFormatting sqref="C173">
    <cfRule type="duplicateValues" dxfId="84" priority="99"/>
  </conditionalFormatting>
  <conditionalFormatting sqref="C175">
    <cfRule type="duplicateValues" dxfId="83" priority="98"/>
  </conditionalFormatting>
  <conditionalFormatting sqref="C176">
    <cfRule type="duplicateValues" dxfId="82" priority="105"/>
  </conditionalFormatting>
  <conditionalFormatting sqref="C177">
    <cfRule type="duplicateValues" dxfId="81" priority="94"/>
  </conditionalFormatting>
  <conditionalFormatting sqref="C179">
    <cfRule type="duplicateValues" dxfId="80" priority="93"/>
  </conditionalFormatting>
  <conditionalFormatting sqref="C180">
    <cfRule type="duplicateValues" dxfId="79" priority="92"/>
  </conditionalFormatting>
  <conditionalFormatting sqref="C185">
    <cfRule type="duplicateValues" dxfId="78" priority="118"/>
  </conditionalFormatting>
  <conditionalFormatting sqref="C186">
    <cfRule type="duplicateValues" dxfId="77" priority="90"/>
  </conditionalFormatting>
  <conditionalFormatting sqref="C187">
    <cfRule type="duplicateValues" dxfId="76" priority="101"/>
  </conditionalFormatting>
  <conditionalFormatting sqref="C188">
    <cfRule type="duplicateValues" dxfId="75" priority="100"/>
  </conditionalFormatting>
  <conditionalFormatting sqref="C189">
    <cfRule type="duplicateValues" dxfId="74" priority="114"/>
  </conditionalFormatting>
  <conditionalFormatting sqref="C190">
    <cfRule type="duplicateValues" dxfId="73" priority="89"/>
  </conditionalFormatting>
  <conditionalFormatting sqref="C191">
    <cfRule type="duplicateValues" dxfId="72" priority="96"/>
  </conditionalFormatting>
  <conditionalFormatting sqref="C192">
    <cfRule type="duplicateValues" dxfId="71" priority="120"/>
  </conditionalFormatting>
  <conditionalFormatting sqref="C193">
    <cfRule type="duplicateValues" dxfId="70" priority="88"/>
  </conditionalFormatting>
  <conditionalFormatting sqref="C194">
    <cfRule type="duplicateValues" dxfId="69" priority="91"/>
  </conditionalFormatting>
  <conditionalFormatting sqref="C195">
    <cfRule type="duplicateValues" dxfId="68" priority="121"/>
  </conditionalFormatting>
  <conditionalFormatting sqref="C196">
    <cfRule type="duplicateValues" dxfId="67" priority="86"/>
  </conditionalFormatting>
  <conditionalFormatting sqref="C197">
    <cfRule type="duplicateValues" dxfId="66" priority="85"/>
  </conditionalFormatting>
  <conditionalFormatting sqref="C198">
    <cfRule type="duplicateValues" dxfId="65" priority="84"/>
  </conditionalFormatting>
  <conditionalFormatting sqref="C199">
    <cfRule type="duplicateValues" dxfId="64" priority="46"/>
  </conditionalFormatting>
  <conditionalFormatting sqref="D199">
    <cfRule type="duplicateValues" dxfId="63" priority="110"/>
  </conditionalFormatting>
  <conditionalFormatting sqref="C200">
    <cfRule type="duplicateValues" dxfId="62" priority="83"/>
  </conditionalFormatting>
  <conditionalFormatting sqref="C201">
    <cfRule type="duplicateValues" dxfId="61" priority="82"/>
  </conditionalFormatting>
  <conditionalFormatting sqref="C202">
    <cfRule type="duplicateValues" dxfId="60" priority="116"/>
  </conditionalFormatting>
  <conditionalFormatting sqref="C203">
    <cfRule type="duplicateValues" dxfId="59" priority="95"/>
  </conditionalFormatting>
  <conditionalFormatting sqref="C216">
    <cfRule type="duplicateValues" dxfId="58" priority="103"/>
  </conditionalFormatting>
  <conditionalFormatting sqref="C221">
    <cfRule type="duplicateValues" dxfId="57" priority="80"/>
  </conditionalFormatting>
  <conditionalFormatting sqref="C222">
    <cfRule type="duplicateValues" dxfId="56" priority="97"/>
  </conditionalFormatting>
  <conditionalFormatting sqref="C223">
    <cfRule type="duplicateValues" dxfId="55" priority="104"/>
  </conditionalFormatting>
  <conditionalFormatting sqref="C224">
    <cfRule type="duplicateValues" dxfId="54" priority="107"/>
  </conditionalFormatting>
  <conditionalFormatting sqref="C225">
    <cfRule type="duplicateValues" dxfId="53" priority="78"/>
  </conditionalFormatting>
  <conditionalFormatting sqref="C230">
    <cfRule type="duplicateValues" dxfId="52" priority="87"/>
  </conditionalFormatting>
  <conditionalFormatting sqref="C231">
    <cfRule type="duplicateValues" dxfId="51" priority="76"/>
  </conditionalFormatting>
  <conditionalFormatting sqref="C232">
    <cfRule type="duplicateValues" dxfId="50" priority="123"/>
  </conditionalFormatting>
  <conditionalFormatting sqref="C235">
    <cfRule type="duplicateValues" dxfId="49" priority="119"/>
  </conditionalFormatting>
  <conditionalFormatting sqref="C239">
    <cfRule type="duplicateValues" dxfId="48" priority="45"/>
  </conditionalFormatting>
  <conditionalFormatting sqref="D252">
    <cfRule type="duplicateValues" dxfId="47" priority="51"/>
  </conditionalFormatting>
  <conditionalFormatting sqref="D253">
    <cfRule type="duplicateValues" dxfId="46" priority="50"/>
  </conditionalFormatting>
  <conditionalFormatting sqref="C262">
    <cfRule type="duplicateValues" dxfId="45" priority="49"/>
  </conditionalFormatting>
  <conditionalFormatting sqref="C265">
    <cfRule type="duplicateValues" dxfId="44" priority="48"/>
  </conditionalFormatting>
  <conditionalFormatting sqref="C278">
    <cfRule type="duplicateValues" dxfId="43" priority="47"/>
  </conditionalFormatting>
  <conditionalFormatting sqref="C46:C47">
    <cfRule type="duplicateValues" dxfId="42" priority="61"/>
  </conditionalFormatting>
  <conditionalFormatting sqref="C57:C58">
    <cfRule type="duplicateValues" dxfId="41" priority="69"/>
  </conditionalFormatting>
  <conditionalFormatting sqref="C166:C167">
    <cfRule type="duplicateValues" dxfId="40" priority="52"/>
  </conditionalFormatting>
  <conditionalFormatting sqref="Q262">
    <cfRule type="duplicateValues" dxfId="39" priority="44"/>
  </conditionalFormatting>
  <conditionalFormatting sqref="Q278">
    <cfRule type="duplicateValues" dxfId="38" priority="43"/>
  </conditionalFormatting>
  <conditionalFormatting sqref="Q198">
    <cfRule type="duplicateValues" dxfId="37" priority="42"/>
  </conditionalFormatting>
  <conditionalFormatting sqref="Q200">
    <cfRule type="duplicateValues" dxfId="36" priority="40"/>
  </conditionalFormatting>
  <conditionalFormatting sqref="Q222">
    <cfRule type="duplicateValues" dxfId="35" priority="39"/>
  </conditionalFormatting>
  <conditionalFormatting sqref="Q43">
    <cfRule type="duplicateValues" dxfId="34" priority="38"/>
  </conditionalFormatting>
  <conditionalFormatting sqref="Q41">
    <cfRule type="duplicateValues" dxfId="33" priority="37"/>
  </conditionalFormatting>
  <conditionalFormatting sqref="Q39">
    <cfRule type="duplicateValues" dxfId="32" priority="36"/>
  </conditionalFormatting>
  <conditionalFormatting sqref="Q55">
    <cfRule type="duplicateValues" dxfId="31" priority="35"/>
  </conditionalFormatting>
  <conditionalFormatting sqref="Q85">
    <cfRule type="duplicateValues" dxfId="30" priority="34"/>
  </conditionalFormatting>
  <conditionalFormatting sqref="Q54">
    <cfRule type="duplicateValues" dxfId="29" priority="33"/>
  </conditionalFormatting>
  <conditionalFormatting sqref="Q223">
    <cfRule type="duplicateValues" dxfId="28" priority="32"/>
  </conditionalFormatting>
  <conditionalFormatting sqref="Q193">
    <cfRule type="duplicateValues" dxfId="27" priority="31"/>
  </conditionalFormatting>
  <conditionalFormatting sqref="Q179">
    <cfRule type="duplicateValues" dxfId="26" priority="30"/>
  </conditionalFormatting>
  <conditionalFormatting sqref="Q173">
    <cfRule type="duplicateValues" dxfId="25" priority="29"/>
  </conditionalFormatting>
  <conditionalFormatting sqref="Q175">
    <cfRule type="duplicateValues" dxfId="24" priority="28"/>
  </conditionalFormatting>
  <conditionalFormatting sqref="Q172">
    <cfRule type="duplicateValues" dxfId="23" priority="27"/>
  </conditionalFormatting>
  <conditionalFormatting sqref="Q170">
    <cfRule type="duplicateValues" dxfId="22" priority="26"/>
  </conditionalFormatting>
  <conditionalFormatting sqref="Q232">
    <cfRule type="duplicateValues" dxfId="21" priority="25"/>
  </conditionalFormatting>
  <conditionalFormatting sqref="Q186">
    <cfRule type="duplicateValues" dxfId="20" priority="24"/>
  </conditionalFormatting>
  <conditionalFormatting sqref="Q194">
    <cfRule type="duplicateValues" dxfId="19" priority="23"/>
  </conditionalFormatting>
  <conditionalFormatting sqref="Q199">
    <cfRule type="duplicateValues" dxfId="18" priority="22"/>
  </conditionalFormatting>
  <conditionalFormatting sqref="Q147">
    <cfRule type="duplicateValues" dxfId="17" priority="21"/>
  </conditionalFormatting>
  <conditionalFormatting sqref="Q187">
    <cfRule type="duplicateValues" dxfId="16" priority="20"/>
  </conditionalFormatting>
  <conditionalFormatting sqref="Q143">
    <cfRule type="duplicateValues" dxfId="15" priority="19"/>
  </conditionalFormatting>
  <conditionalFormatting sqref="Q192">
    <cfRule type="duplicateValues" dxfId="14" priority="18"/>
  </conditionalFormatting>
  <conditionalFormatting sqref="Q185">
    <cfRule type="duplicateValues" dxfId="13" priority="17"/>
  </conditionalFormatting>
  <conditionalFormatting sqref="Q191">
    <cfRule type="duplicateValues" dxfId="12" priority="16"/>
  </conditionalFormatting>
  <conditionalFormatting sqref="Q180">
    <cfRule type="duplicateValues" dxfId="11" priority="15"/>
  </conditionalFormatting>
  <conditionalFormatting sqref="Q176">
    <cfRule type="duplicateValues" dxfId="10" priority="14"/>
  </conditionalFormatting>
  <conditionalFormatting sqref="Q57">
    <cfRule type="duplicateValues" dxfId="9" priority="13"/>
  </conditionalFormatting>
  <conditionalFormatting sqref="Q38">
    <cfRule type="duplicateValues" dxfId="8" priority="12"/>
  </conditionalFormatting>
  <conditionalFormatting sqref="Q142">
    <cfRule type="duplicateValues" dxfId="7" priority="11"/>
  </conditionalFormatting>
  <conditionalFormatting sqref="Q225">
    <cfRule type="duplicateValues" dxfId="6" priority="10"/>
  </conditionalFormatting>
  <conditionalFormatting sqref="Q189">
    <cfRule type="duplicateValues" dxfId="5" priority="9"/>
  </conditionalFormatting>
  <conditionalFormatting sqref="Q188">
    <cfRule type="duplicateValues" dxfId="4" priority="8"/>
  </conditionalFormatting>
  <conditionalFormatting sqref="Q231">
    <cfRule type="duplicateValues" dxfId="3" priority="7"/>
  </conditionalFormatting>
  <conditionalFormatting sqref="C2:C279">
    <cfRule type="cellIs" dxfId="2" priority="2" operator="equal">
      <formula>"C2"</formula>
    </cfRule>
  </conditionalFormatting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4E08-D0FB-E048-9B35-F398C43502C9}">
  <dimension ref="A1:L9"/>
  <sheetViews>
    <sheetView topLeftCell="F3" zoomScale="191" zoomScaleNormal="130" workbookViewId="0">
      <selection activeCell="E10" sqref="E10"/>
    </sheetView>
  </sheetViews>
  <sheetFormatPr baseColWidth="10" defaultRowHeight="15"/>
  <cols>
    <col min="1" max="1" width="5.1640625" style="71" customWidth="1"/>
    <col min="2" max="2" width="12.6640625" style="71" customWidth="1"/>
    <col min="3" max="3" width="15.6640625" style="71" customWidth="1"/>
    <col min="4" max="4" width="12.5" style="71" bestFit="1" customWidth="1"/>
    <col min="5" max="5" width="53.1640625" style="71" customWidth="1"/>
    <col min="6" max="6" width="37.33203125" style="71" customWidth="1"/>
    <col min="7" max="7" width="8.6640625" style="71" customWidth="1"/>
    <col min="8" max="9" width="10.83203125" style="71"/>
    <col min="10" max="10" width="9.5" style="71" customWidth="1"/>
    <col min="11" max="11" width="16" style="71" customWidth="1"/>
    <col min="12" max="16384" width="10.83203125" style="71"/>
  </cols>
  <sheetData>
    <row r="1" spans="1:12">
      <c r="A1" s="75" t="s">
        <v>1624</v>
      </c>
      <c r="B1" s="75" t="s">
        <v>8</v>
      </c>
      <c r="C1" s="75" t="s">
        <v>9</v>
      </c>
      <c r="D1" s="75" t="s">
        <v>10</v>
      </c>
      <c r="E1" s="76" t="s">
        <v>11</v>
      </c>
      <c r="F1" s="76" t="s">
        <v>12</v>
      </c>
      <c r="G1" s="77" t="s">
        <v>14</v>
      </c>
      <c r="H1" s="77" t="s">
        <v>13</v>
      </c>
      <c r="I1" s="77" t="s">
        <v>15</v>
      </c>
      <c r="J1" s="77" t="s">
        <v>1625</v>
      </c>
      <c r="K1" s="77" t="s">
        <v>1232</v>
      </c>
      <c r="L1" s="77" t="s">
        <v>1233</v>
      </c>
    </row>
    <row r="2" spans="1:12">
      <c r="A2" s="111">
        <v>1</v>
      </c>
      <c r="B2" s="78" t="s">
        <v>1331</v>
      </c>
      <c r="C2" s="78" t="s">
        <v>1332</v>
      </c>
      <c r="D2" s="74" t="s">
        <v>1333</v>
      </c>
      <c r="E2" s="74" t="s">
        <v>1334</v>
      </c>
      <c r="F2" s="74" t="s">
        <v>1335</v>
      </c>
      <c r="G2" s="79">
        <v>4</v>
      </c>
      <c r="H2" s="74" t="s">
        <v>134</v>
      </c>
      <c r="I2" s="74" t="s">
        <v>238</v>
      </c>
      <c r="J2" s="108">
        <f>3*G2</f>
        <v>12</v>
      </c>
      <c r="K2" s="108" t="s">
        <v>1626</v>
      </c>
      <c r="L2" s="108">
        <v>12</v>
      </c>
    </row>
    <row r="3" spans="1:12">
      <c r="A3" s="111">
        <v>2</v>
      </c>
      <c r="B3" s="78" t="s">
        <v>1336</v>
      </c>
      <c r="C3" s="78" t="s">
        <v>1337</v>
      </c>
      <c r="D3" s="74" t="s">
        <v>1338</v>
      </c>
      <c r="E3" s="74" t="s">
        <v>1339</v>
      </c>
      <c r="F3" s="74" t="s">
        <v>1340</v>
      </c>
      <c r="G3" s="79">
        <v>933</v>
      </c>
      <c r="H3" s="74" t="s">
        <v>45</v>
      </c>
      <c r="I3" s="74" t="s">
        <v>256</v>
      </c>
      <c r="J3" s="108">
        <f t="shared" ref="J3:J9" si="0">3*G3</f>
        <v>2799</v>
      </c>
      <c r="K3" s="108" t="s">
        <v>1337</v>
      </c>
      <c r="L3" s="108">
        <v>2830</v>
      </c>
    </row>
    <row r="4" spans="1:12">
      <c r="A4" s="111">
        <v>3</v>
      </c>
      <c r="B4" s="78" t="s">
        <v>1341</v>
      </c>
      <c r="C4" s="78" t="s">
        <v>1342</v>
      </c>
      <c r="D4" s="74" t="s">
        <v>1343</v>
      </c>
      <c r="E4" s="74" t="s">
        <v>1344</v>
      </c>
      <c r="F4" s="74" t="s">
        <v>1345</v>
      </c>
      <c r="G4" s="79">
        <v>4</v>
      </c>
      <c r="H4" s="74" t="s">
        <v>134</v>
      </c>
      <c r="I4" s="74" t="s">
        <v>1346</v>
      </c>
      <c r="J4" s="108">
        <f t="shared" si="0"/>
        <v>12</v>
      </c>
      <c r="K4" s="108" t="s">
        <v>1342</v>
      </c>
      <c r="L4" s="108">
        <v>12</v>
      </c>
    </row>
    <row r="5" spans="1:12">
      <c r="A5" s="111">
        <v>4</v>
      </c>
      <c r="B5" s="78" t="s">
        <v>1347</v>
      </c>
      <c r="C5" s="78" t="s">
        <v>1348</v>
      </c>
      <c r="D5" s="74" t="s">
        <v>1349</v>
      </c>
      <c r="E5" s="74" t="s">
        <v>1350</v>
      </c>
      <c r="F5" s="74" t="s">
        <v>1351</v>
      </c>
      <c r="G5" s="79">
        <v>2</v>
      </c>
      <c r="H5" s="74" t="s">
        <v>134</v>
      </c>
      <c r="I5" s="74" t="s">
        <v>1346</v>
      </c>
      <c r="J5" s="108">
        <f t="shared" si="0"/>
        <v>6</v>
      </c>
      <c r="K5" s="108" t="s">
        <v>1348</v>
      </c>
      <c r="L5" s="108">
        <v>6</v>
      </c>
    </row>
    <row r="6" spans="1:12">
      <c r="A6" s="111">
        <v>5</v>
      </c>
      <c r="B6" s="78" t="s">
        <v>1352</v>
      </c>
      <c r="C6" s="78" t="s">
        <v>1353</v>
      </c>
      <c r="D6" s="74" t="s">
        <v>1354</v>
      </c>
      <c r="E6" s="74" t="s">
        <v>1355</v>
      </c>
      <c r="F6" s="74" t="s">
        <v>1356</v>
      </c>
      <c r="G6" s="79">
        <v>1</v>
      </c>
      <c r="H6" s="74" t="s">
        <v>134</v>
      </c>
      <c r="I6" s="74" t="s">
        <v>1357</v>
      </c>
      <c r="J6" s="108">
        <f t="shared" si="0"/>
        <v>3</v>
      </c>
      <c r="K6" s="108" t="s">
        <v>1353</v>
      </c>
      <c r="L6" s="108">
        <v>3</v>
      </c>
    </row>
    <row r="7" spans="1:12">
      <c r="A7" s="111">
        <v>6</v>
      </c>
      <c r="B7" s="80" t="s">
        <v>1358</v>
      </c>
      <c r="C7" s="81" t="s">
        <v>1065</v>
      </c>
      <c r="D7" s="81" t="s">
        <v>1359</v>
      </c>
      <c r="E7" s="81" t="s">
        <v>1365</v>
      </c>
      <c r="F7" s="82" t="s">
        <v>1360</v>
      </c>
      <c r="G7" s="79">
        <v>1</v>
      </c>
      <c r="H7" s="74" t="s">
        <v>1069</v>
      </c>
      <c r="I7" s="83" t="s">
        <v>81</v>
      </c>
      <c r="J7" s="108">
        <f t="shared" si="0"/>
        <v>3</v>
      </c>
      <c r="K7" s="108" t="s">
        <v>1281</v>
      </c>
      <c r="L7" s="108" t="s">
        <v>1623</v>
      </c>
    </row>
    <row r="8" spans="1:12">
      <c r="A8" s="111">
        <v>7</v>
      </c>
      <c r="B8" s="78"/>
      <c r="C8" s="81" t="s">
        <v>1290</v>
      </c>
      <c r="D8" s="81" t="s">
        <v>1290</v>
      </c>
      <c r="E8" s="81" t="s">
        <v>1291</v>
      </c>
      <c r="F8" s="83" t="s">
        <v>1361</v>
      </c>
      <c r="G8" s="79">
        <v>2</v>
      </c>
      <c r="H8" s="83" t="s">
        <v>323</v>
      </c>
      <c r="I8" s="83" t="s">
        <v>1306</v>
      </c>
      <c r="J8" s="108">
        <f t="shared" si="0"/>
        <v>6</v>
      </c>
      <c r="K8" s="108" t="s">
        <v>1290</v>
      </c>
      <c r="L8" s="108" t="s">
        <v>1623</v>
      </c>
    </row>
    <row r="9" spans="1:12">
      <c r="A9" s="111">
        <v>8</v>
      </c>
      <c r="B9" s="78"/>
      <c r="C9" s="74" t="s">
        <v>1362</v>
      </c>
      <c r="D9" s="74" t="s">
        <v>1362</v>
      </c>
      <c r="E9" s="74" t="s">
        <v>1366</v>
      </c>
      <c r="F9" s="74" t="s">
        <v>1363</v>
      </c>
      <c r="G9" s="79">
        <v>4</v>
      </c>
      <c r="H9" s="74" t="s">
        <v>1362</v>
      </c>
      <c r="I9" s="74" t="s">
        <v>1367</v>
      </c>
      <c r="J9" s="108">
        <f t="shared" si="0"/>
        <v>12</v>
      </c>
      <c r="K9" s="108" t="s">
        <v>1628</v>
      </c>
      <c r="L9" s="108">
        <v>14</v>
      </c>
    </row>
  </sheetData>
  <phoneticPr fontId="17" type="noConversion"/>
  <conditionalFormatting sqref="C1:C6">
    <cfRule type="duplicateValues" dxfId="1" priority="2"/>
  </conditionalFormatting>
  <conditionalFormatting sqref="C9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7DCD-CB7D-F446-A442-ADC0BB4490B5}">
  <dimension ref="A1:N48"/>
  <sheetViews>
    <sheetView topLeftCell="F9" zoomScale="132" zoomScaleNormal="115" workbookViewId="0">
      <selection activeCell="M1" sqref="M1:M1048576"/>
    </sheetView>
  </sheetViews>
  <sheetFormatPr baseColWidth="10" defaultColWidth="8.83203125" defaultRowHeight="15"/>
  <cols>
    <col min="1" max="1" width="4.33203125" style="85" customWidth="1"/>
    <col min="2" max="2" width="13.83203125" style="85" customWidth="1"/>
    <col min="3" max="3" width="21.83203125" style="85" customWidth="1"/>
    <col min="4" max="4" width="17.83203125" style="85" customWidth="1"/>
    <col min="5" max="5" width="61.33203125" style="85" customWidth="1"/>
    <col min="6" max="6" width="28.1640625" style="85" customWidth="1"/>
    <col min="7" max="8" width="11.1640625" style="85" customWidth="1"/>
    <col min="9" max="10" width="7.33203125" style="85" customWidth="1"/>
    <col min="11" max="11" width="27.6640625" style="85" bestFit="1" customWidth="1"/>
    <col min="12" max="12" width="8.83203125" style="85"/>
    <col min="13" max="13" width="19.6640625" style="85" customWidth="1"/>
    <col min="14" max="14" width="12.5" style="85" bestFit="1" customWidth="1"/>
    <col min="15" max="16384" width="8.83203125" style="85"/>
  </cols>
  <sheetData>
    <row r="1" spans="1:14">
      <c r="A1" s="84" t="s">
        <v>1368</v>
      </c>
      <c r="B1" s="84" t="s">
        <v>1369</v>
      </c>
      <c r="C1" s="84" t="s">
        <v>1370</v>
      </c>
      <c r="D1" s="84" t="s">
        <v>10</v>
      </c>
      <c r="E1" s="84" t="s">
        <v>11</v>
      </c>
      <c r="F1" s="84" t="s">
        <v>12</v>
      </c>
      <c r="G1" s="84" t="s">
        <v>13</v>
      </c>
      <c r="H1" s="84" t="s">
        <v>1371</v>
      </c>
      <c r="I1" s="84" t="s">
        <v>14</v>
      </c>
      <c r="J1" s="84" t="s">
        <v>1372</v>
      </c>
      <c r="K1" s="84" t="s">
        <v>1373</v>
      </c>
      <c r="L1" s="84"/>
      <c r="M1" s="84" t="s">
        <v>1232</v>
      </c>
      <c r="N1" s="84" t="s">
        <v>1233</v>
      </c>
    </row>
    <row r="2" spans="1:14">
      <c r="A2" s="86">
        <v>1</v>
      </c>
      <c r="B2" s="87" t="s">
        <v>1374</v>
      </c>
      <c r="C2" s="87" t="s">
        <v>1375</v>
      </c>
      <c r="D2" s="88" t="s">
        <v>1376</v>
      </c>
      <c r="E2" s="89" t="s">
        <v>1377</v>
      </c>
      <c r="F2" s="90" t="s">
        <v>1378</v>
      </c>
      <c r="G2" s="90" t="s">
        <v>101</v>
      </c>
      <c r="H2" s="90" t="s">
        <v>1379</v>
      </c>
      <c r="I2" s="91">
        <v>7</v>
      </c>
      <c r="J2" s="91">
        <f>3*I2</f>
        <v>21</v>
      </c>
      <c r="K2" s="92" t="s">
        <v>1380</v>
      </c>
      <c r="L2" s="110"/>
      <c r="M2" s="113" t="s">
        <v>1375</v>
      </c>
      <c r="N2" s="114">
        <v>30</v>
      </c>
    </row>
    <row r="3" spans="1:14">
      <c r="A3" s="86">
        <v>2</v>
      </c>
      <c r="B3" s="87" t="s">
        <v>1381</v>
      </c>
      <c r="C3" s="87" t="s">
        <v>1382</v>
      </c>
      <c r="D3" s="87" t="s">
        <v>1383</v>
      </c>
      <c r="E3" s="87" t="s">
        <v>1384</v>
      </c>
      <c r="F3" s="90" t="s">
        <v>1385</v>
      </c>
      <c r="G3" s="90" t="s">
        <v>45</v>
      </c>
      <c r="H3" s="90" t="s">
        <v>1379</v>
      </c>
      <c r="I3" s="91">
        <v>3</v>
      </c>
      <c r="J3" s="91">
        <f t="shared" ref="J3:J48" si="0">3*I3</f>
        <v>9</v>
      </c>
      <c r="K3" s="92" t="s">
        <v>1380</v>
      </c>
      <c r="L3" s="110"/>
      <c r="M3" s="113" t="s">
        <v>1382</v>
      </c>
      <c r="N3" s="114">
        <v>15</v>
      </c>
    </row>
    <row r="4" spans="1:14">
      <c r="A4" s="86">
        <v>3</v>
      </c>
      <c r="B4" s="87" t="s">
        <v>1386</v>
      </c>
      <c r="C4" s="87" t="s">
        <v>1387</v>
      </c>
      <c r="D4" s="87" t="s">
        <v>1388</v>
      </c>
      <c r="E4" s="87" t="s">
        <v>1389</v>
      </c>
      <c r="F4" s="90" t="s">
        <v>1629</v>
      </c>
      <c r="G4" s="90" t="s">
        <v>101</v>
      </c>
      <c r="H4" s="90" t="s">
        <v>1390</v>
      </c>
      <c r="I4" s="91">
        <v>3</v>
      </c>
      <c r="J4" s="91">
        <f t="shared" si="0"/>
        <v>9</v>
      </c>
      <c r="K4" s="92" t="s">
        <v>1380</v>
      </c>
      <c r="L4" s="110"/>
      <c r="M4" s="113" t="s">
        <v>1387</v>
      </c>
      <c r="N4" s="114">
        <v>15</v>
      </c>
    </row>
    <row r="5" spans="1:14">
      <c r="A5" s="86">
        <v>4</v>
      </c>
      <c r="B5" s="87" t="s">
        <v>1391</v>
      </c>
      <c r="C5" s="87" t="s">
        <v>1392</v>
      </c>
      <c r="D5" s="87" t="s">
        <v>1393</v>
      </c>
      <c r="E5" s="90" t="s">
        <v>1394</v>
      </c>
      <c r="F5" s="90" t="s">
        <v>1395</v>
      </c>
      <c r="G5" s="90" t="s">
        <v>86</v>
      </c>
      <c r="H5" s="90" t="s">
        <v>1379</v>
      </c>
      <c r="I5" s="91">
        <v>4</v>
      </c>
      <c r="J5" s="91">
        <f t="shared" si="0"/>
        <v>12</v>
      </c>
      <c r="K5" s="92" t="s">
        <v>1380</v>
      </c>
      <c r="L5" s="110"/>
      <c r="M5" s="113" t="s">
        <v>1392</v>
      </c>
      <c r="N5" s="114">
        <v>20</v>
      </c>
    </row>
    <row r="6" spans="1:14">
      <c r="A6" s="86">
        <v>5</v>
      </c>
      <c r="B6" s="87" t="s">
        <v>1396</v>
      </c>
      <c r="C6" s="87" t="s">
        <v>1630</v>
      </c>
      <c r="D6" s="87" t="s">
        <v>1397</v>
      </c>
      <c r="E6" s="87" t="s">
        <v>1398</v>
      </c>
      <c r="F6" s="90" t="s">
        <v>1399</v>
      </c>
      <c r="G6" s="90" t="s">
        <v>1400</v>
      </c>
      <c r="H6" s="90" t="s">
        <v>1401</v>
      </c>
      <c r="I6" s="91">
        <v>1</v>
      </c>
      <c r="J6" s="91">
        <f t="shared" si="0"/>
        <v>3</v>
      </c>
      <c r="K6" s="92" t="s">
        <v>1380</v>
      </c>
      <c r="L6" s="110"/>
      <c r="M6" s="113" t="s">
        <v>1630</v>
      </c>
      <c r="N6" s="114">
        <v>3</v>
      </c>
    </row>
    <row r="7" spans="1:14">
      <c r="A7" s="86">
        <v>6</v>
      </c>
      <c r="B7" s="87" t="s">
        <v>1402</v>
      </c>
      <c r="C7" s="87" t="s">
        <v>1403</v>
      </c>
      <c r="D7" s="87" t="s">
        <v>1404</v>
      </c>
      <c r="E7" s="90" t="s">
        <v>1405</v>
      </c>
      <c r="F7" s="90" t="s">
        <v>1406</v>
      </c>
      <c r="G7" s="90" t="s">
        <v>101</v>
      </c>
      <c r="H7" s="90" t="s">
        <v>1379</v>
      </c>
      <c r="I7" s="91">
        <v>1</v>
      </c>
      <c r="J7" s="91">
        <f t="shared" si="0"/>
        <v>3</v>
      </c>
      <c r="K7" s="92" t="s">
        <v>1380</v>
      </c>
      <c r="L7" s="110"/>
      <c r="M7" s="113" t="s">
        <v>1403</v>
      </c>
      <c r="N7" s="114">
        <v>10</v>
      </c>
    </row>
    <row r="8" spans="1:14">
      <c r="A8" s="86">
        <v>7</v>
      </c>
      <c r="B8" s="87" t="s">
        <v>1407</v>
      </c>
      <c r="C8" s="87" t="s">
        <v>1408</v>
      </c>
      <c r="D8" s="87" t="s">
        <v>1409</v>
      </c>
      <c r="E8" s="90" t="s">
        <v>1410</v>
      </c>
      <c r="F8" s="90" t="s">
        <v>1411</v>
      </c>
      <c r="G8" s="90" t="s">
        <v>101</v>
      </c>
      <c r="H8" s="90" t="s">
        <v>1412</v>
      </c>
      <c r="I8" s="91">
        <v>1</v>
      </c>
      <c r="J8" s="91">
        <f t="shared" si="0"/>
        <v>3</v>
      </c>
      <c r="K8" s="92" t="s">
        <v>1380</v>
      </c>
      <c r="L8" s="110"/>
      <c r="M8" s="113" t="s">
        <v>1408</v>
      </c>
      <c r="N8" s="114">
        <v>10</v>
      </c>
    </row>
    <row r="9" spans="1:14">
      <c r="A9" s="86">
        <v>8</v>
      </c>
      <c r="B9" s="87" t="s">
        <v>1413</v>
      </c>
      <c r="C9" s="87" t="s">
        <v>1414</v>
      </c>
      <c r="D9" s="87" t="s">
        <v>1415</v>
      </c>
      <c r="E9" s="90" t="s">
        <v>1416</v>
      </c>
      <c r="F9" s="90" t="s">
        <v>1417</v>
      </c>
      <c r="G9" s="90" t="s">
        <v>101</v>
      </c>
      <c r="H9" s="90" t="s">
        <v>1418</v>
      </c>
      <c r="I9" s="91">
        <v>3</v>
      </c>
      <c r="J9" s="91">
        <f t="shared" si="0"/>
        <v>9</v>
      </c>
      <c r="K9" s="92" t="s">
        <v>1380</v>
      </c>
      <c r="L9" s="110"/>
      <c r="M9" s="113" t="s">
        <v>1414</v>
      </c>
      <c r="N9" s="114">
        <v>20</v>
      </c>
    </row>
    <row r="10" spans="1:14">
      <c r="A10" s="86">
        <v>9</v>
      </c>
      <c r="B10" s="87" t="s">
        <v>1419</v>
      </c>
      <c r="C10" s="87" t="s">
        <v>1420</v>
      </c>
      <c r="D10" s="87" t="s">
        <v>1421</v>
      </c>
      <c r="E10" s="87" t="s">
        <v>1422</v>
      </c>
      <c r="F10" s="90" t="s">
        <v>1423</v>
      </c>
      <c r="G10" s="90" t="s">
        <v>38</v>
      </c>
      <c r="H10" s="90" t="s">
        <v>1424</v>
      </c>
      <c r="I10" s="91">
        <v>1</v>
      </c>
      <c r="J10" s="91">
        <f t="shared" si="0"/>
        <v>3</v>
      </c>
      <c r="K10" s="92" t="s">
        <v>1380</v>
      </c>
      <c r="L10" s="110"/>
      <c r="M10" s="113" t="s">
        <v>1420</v>
      </c>
      <c r="N10" s="114">
        <v>10</v>
      </c>
    </row>
    <row r="11" spans="1:14">
      <c r="A11" s="86">
        <v>10</v>
      </c>
      <c r="B11" s="87" t="s">
        <v>1425</v>
      </c>
      <c r="C11" s="87" t="s">
        <v>1426</v>
      </c>
      <c r="D11" s="87" t="s">
        <v>1427</v>
      </c>
      <c r="E11" s="87" t="s">
        <v>1428</v>
      </c>
      <c r="F11" s="90" t="s">
        <v>1429</v>
      </c>
      <c r="G11" s="90" t="s">
        <v>101</v>
      </c>
      <c r="H11" s="90" t="s">
        <v>1418</v>
      </c>
      <c r="I11" s="91">
        <v>2</v>
      </c>
      <c r="J11" s="91">
        <f t="shared" si="0"/>
        <v>6</v>
      </c>
      <c r="K11" s="92" t="s">
        <v>1380</v>
      </c>
      <c r="L11" s="110"/>
      <c r="M11" s="113" t="s">
        <v>1426</v>
      </c>
      <c r="N11" s="114">
        <v>10</v>
      </c>
    </row>
    <row r="12" spans="1:14">
      <c r="A12" s="86">
        <v>11</v>
      </c>
      <c r="B12" s="87" t="s">
        <v>1430</v>
      </c>
      <c r="C12" s="87" t="s">
        <v>1431</v>
      </c>
      <c r="D12" s="90" t="s">
        <v>1432</v>
      </c>
      <c r="E12" s="90" t="s">
        <v>1433</v>
      </c>
      <c r="F12" s="90" t="s">
        <v>1434</v>
      </c>
      <c r="G12" s="90" t="s">
        <v>101</v>
      </c>
      <c r="H12" s="90" t="s">
        <v>1435</v>
      </c>
      <c r="I12" s="91">
        <v>2</v>
      </c>
      <c r="J12" s="91">
        <f t="shared" si="0"/>
        <v>6</v>
      </c>
      <c r="K12" s="92" t="s">
        <v>1380</v>
      </c>
      <c r="L12" s="110"/>
      <c r="M12" s="113" t="s">
        <v>1631</v>
      </c>
      <c r="N12" s="114" t="s">
        <v>1632</v>
      </c>
    </row>
    <row r="13" spans="1:14">
      <c r="A13" s="86">
        <v>12</v>
      </c>
      <c r="B13" s="87" t="s">
        <v>1436</v>
      </c>
      <c r="C13" s="87" t="s">
        <v>1437</v>
      </c>
      <c r="D13" s="90" t="s">
        <v>1438</v>
      </c>
      <c r="E13" s="90" t="s">
        <v>1439</v>
      </c>
      <c r="F13" s="90" t="s">
        <v>1440</v>
      </c>
      <c r="G13" s="90" t="s">
        <v>38</v>
      </c>
      <c r="H13" s="90" t="s">
        <v>1424</v>
      </c>
      <c r="I13" s="91">
        <v>2</v>
      </c>
      <c r="J13" s="91">
        <f t="shared" si="0"/>
        <v>6</v>
      </c>
      <c r="K13" s="92" t="s">
        <v>1380</v>
      </c>
      <c r="L13" s="110"/>
      <c r="M13" s="113" t="s">
        <v>1437</v>
      </c>
      <c r="N13" s="114" t="s">
        <v>1632</v>
      </c>
    </row>
    <row r="14" spans="1:14">
      <c r="A14" s="86">
        <v>13</v>
      </c>
      <c r="B14" s="87" t="s">
        <v>1441</v>
      </c>
      <c r="C14" s="87" t="s">
        <v>1442</v>
      </c>
      <c r="D14" s="87" t="s">
        <v>1443</v>
      </c>
      <c r="E14" s="87" t="s">
        <v>1444</v>
      </c>
      <c r="F14" s="90" t="s">
        <v>1445</v>
      </c>
      <c r="G14" s="90" t="s">
        <v>38</v>
      </c>
      <c r="H14" s="90" t="s">
        <v>1435</v>
      </c>
      <c r="I14" s="91">
        <v>5</v>
      </c>
      <c r="J14" s="91">
        <f t="shared" si="0"/>
        <v>15</v>
      </c>
      <c r="K14" s="92" t="s">
        <v>1380</v>
      </c>
      <c r="L14" s="110"/>
      <c r="M14" s="113" t="s">
        <v>1633</v>
      </c>
      <c r="N14" s="114">
        <v>25</v>
      </c>
    </row>
    <row r="15" spans="1:14">
      <c r="A15" s="86">
        <v>14</v>
      </c>
      <c r="B15" s="87" t="s">
        <v>1446</v>
      </c>
      <c r="C15" s="87" t="s">
        <v>1447</v>
      </c>
      <c r="D15" s="87" t="s">
        <v>1448</v>
      </c>
      <c r="E15" s="87" t="s">
        <v>1449</v>
      </c>
      <c r="F15" s="90" t="s">
        <v>1450</v>
      </c>
      <c r="G15" s="90" t="s">
        <v>45</v>
      </c>
      <c r="H15" s="90" t="s">
        <v>1424</v>
      </c>
      <c r="I15" s="91">
        <v>1</v>
      </c>
      <c r="J15" s="91">
        <f t="shared" si="0"/>
        <v>3</v>
      </c>
      <c r="K15" s="92" t="s">
        <v>1380</v>
      </c>
      <c r="L15" s="110"/>
      <c r="M15" s="113" t="s">
        <v>1447</v>
      </c>
      <c r="N15" s="114" t="s">
        <v>1632</v>
      </c>
    </row>
    <row r="16" spans="1:14">
      <c r="A16" s="86">
        <v>15</v>
      </c>
      <c r="B16" s="87"/>
      <c r="C16" s="93" t="s">
        <v>1451</v>
      </c>
      <c r="D16" s="93" t="s">
        <v>1451</v>
      </c>
      <c r="E16" s="93" t="s">
        <v>1452</v>
      </c>
      <c r="F16" s="90" t="s">
        <v>326</v>
      </c>
      <c r="G16" s="90" t="s">
        <v>1453</v>
      </c>
      <c r="H16" s="90" t="s">
        <v>1454</v>
      </c>
      <c r="I16" s="91">
        <v>1</v>
      </c>
      <c r="J16" s="91">
        <f t="shared" si="0"/>
        <v>3</v>
      </c>
      <c r="K16" s="90" t="s">
        <v>1455</v>
      </c>
      <c r="L16" s="110"/>
      <c r="M16" s="113" t="s">
        <v>1634</v>
      </c>
      <c r="N16" s="114">
        <v>8</v>
      </c>
    </row>
    <row r="17" spans="1:14">
      <c r="A17" s="86">
        <v>16</v>
      </c>
      <c r="B17" s="87" t="s">
        <v>1456</v>
      </c>
      <c r="C17" s="87" t="s">
        <v>1457</v>
      </c>
      <c r="D17" s="87" t="s">
        <v>1457</v>
      </c>
      <c r="E17" s="87" t="s">
        <v>1458</v>
      </c>
      <c r="F17" s="90" t="s">
        <v>1459</v>
      </c>
      <c r="G17" s="90" t="s">
        <v>1460</v>
      </c>
      <c r="H17" s="90" t="s">
        <v>1461</v>
      </c>
      <c r="I17" s="91">
        <v>3</v>
      </c>
      <c r="J17" s="91">
        <f t="shared" si="0"/>
        <v>9</v>
      </c>
      <c r="K17" s="92" t="s">
        <v>1380</v>
      </c>
      <c r="L17" s="110"/>
      <c r="M17" s="113" t="s">
        <v>1457</v>
      </c>
      <c r="N17" s="114">
        <v>9</v>
      </c>
    </row>
    <row r="18" spans="1:14">
      <c r="A18" s="86">
        <v>17</v>
      </c>
      <c r="B18" s="87" t="s">
        <v>1462</v>
      </c>
      <c r="C18" s="87" t="s">
        <v>1463</v>
      </c>
      <c r="D18" s="87" t="s">
        <v>1464</v>
      </c>
      <c r="E18" s="87" t="s">
        <v>1465</v>
      </c>
      <c r="F18" s="90" t="s">
        <v>1466</v>
      </c>
      <c r="G18" s="90" t="s">
        <v>1467</v>
      </c>
      <c r="H18" s="90" t="s">
        <v>1468</v>
      </c>
      <c r="I18" s="91">
        <v>1</v>
      </c>
      <c r="J18" s="91">
        <f t="shared" si="0"/>
        <v>3</v>
      </c>
      <c r="K18" s="92" t="s">
        <v>1380</v>
      </c>
      <c r="L18" s="110"/>
      <c r="M18" s="87" t="s">
        <v>1463</v>
      </c>
      <c r="N18" s="114">
        <v>3</v>
      </c>
    </row>
    <row r="19" spans="1:14">
      <c r="A19" s="86">
        <v>18</v>
      </c>
      <c r="B19" s="94" t="s">
        <v>1469</v>
      </c>
      <c r="C19" s="94" t="s">
        <v>1470</v>
      </c>
      <c r="D19" s="90" t="s">
        <v>1471</v>
      </c>
      <c r="E19" s="90" t="s">
        <v>1472</v>
      </c>
      <c r="F19" s="90" t="s">
        <v>1473</v>
      </c>
      <c r="G19" s="90" t="s">
        <v>1474</v>
      </c>
      <c r="H19" s="90" t="s">
        <v>1475</v>
      </c>
      <c r="I19" s="91">
        <v>1</v>
      </c>
      <c r="J19" s="91">
        <f t="shared" si="0"/>
        <v>3</v>
      </c>
      <c r="K19" s="92" t="s">
        <v>1380</v>
      </c>
      <c r="L19" s="110"/>
      <c r="M19" s="113" t="s">
        <v>1470</v>
      </c>
      <c r="N19" s="114">
        <v>3</v>
      </c>
    </row>
    <row r="20" spans="1:14">
      <c r="A20" s="86">
        <v>19</v>
      </c>
      <c r="B20" s="94" t="s">
        <v>1476</v>
      </c>
      <c r="C20" s="94" t="s">
        <v>1477</v>
      </c>
      <c r="D20" s="90" t="s">
        <v>1478</v>
      </c>
      <c r="E20" s="90" t="s">
        <v>1479</v>
      </c>
      <c r="F20" s="90" t="s">
        <v>1480</v>
      </c>
      <c r="G20" s="90" t="s">
        <v>1474</v>
      </c>
      <c r="H20" s="90" t="s">
        <v>1475</v>
      </c>
      <c r="I20" s="91">
        <v>2</v>
      </c>
      <c r="J20" s="91">
        <f t="shared" si="0"/>
        <v>6</v>
      </c>
      <c r="K20" s="92" t="s">
        <v>1380</v>
      </c>
      <c r="L20" s="110"/>
      <c r="M20" s="113" t="s">
        <v>1477</v>
      </c>
      <c r="N20" s="114">
        <v>6</v>
      </c>
    </row>
    <row r="21" spans="1:14">
      <c r="A21" s="86">
        <v>20</v>
      </c>
      <c r="B21" s="94" t="s">
        <v>1481</v>
      </c>
      <c r="C21" s="95">
        <v>78438324010</v>
      </c>
      <c r="D21" s="96" t="s">
        <v>1482</v>
      </c>
      <c r="E21" s="97" t="s">
        <v>1483</v>
      </c>
      <c r="F21" s="90" t="s">
        <v>1484</v>
      </c>
      <c r="G21" s="90" t="s">
        <v>1485</v>
      </c>
      <c r="H21" s="94" t="s">
        <v>1486</v>
      </c>
      <c r="I21" s="91">
        <v>1</v>
      </c>
      <c r="J21" s="91">
        <f t="shared" si="0"/>
        <v>3</v>
      </c>
      <c r="K21" s="92" t="s">
        <v>1380</v>
      </c>
      <c r="L21" s="110"/>
      <c r="M21" s="114">
        <v>78438324010</v>
      </c>
      <c r="N21" s="114">
        <v>3</v>
      </c>
    </row>
    <row r="22" spans="1:14">
      <c r="A22" s="86">
        <v>21</v>
      </c>
      <c r="B22" s="98" t="s">
        <v>1487</v>
      </c>
      <c r="C22" s="98" t="s">
        <v>1488</v>
      </c>
      <c r="D22" s="99" t="s">
        <v>1489</v>
      </c>
      <c r="E22" s="100" t="s">
        <v>1490</v>
      </c>
      <c r="F22" s="90" t="s">
        <v>1491</v>
      </c>
      <c r="G22" s="90" t="s">
        <v>1492</v>
      </c>
      <c r="H22" s="98" t="s">
        <v>1493</v>
      </c>
      <c r="I22" s="91">
        <v>1</v>
      </c>
      <c r="J22" s="91">
        <f t="shared" si="0"/>
        <v>3</v>
      </c>
      <c r="K22" s="92" t="s">
        <v>1380</v>
      </c>
      <c r="L22" s="110"/>
      <c r="M22" s="98" t="s">
        <v>1488</v>
      </c>
      <c r="N22" s="114">
        <v>3</v>
      </c>
    </row>
    <row r="23" spans="1:14">
      <c r="A23" s="86">
        <v>22</v>
      </c>
      <c r="B23" s="94" t="s">
        <v>1494</v>
      </c>
      <c r="C23" s="95">
        <v>784778022</v>
      </c>
      <c r="D23" s="96" t="s">
        <v>1495</v>
      </c>
      <c r="E23" s="97" t="s">
        <v>1496</v>
      </c>
      <c r="F23" s="90" t="s">
        <v>1497</v>
      </c>
      <c r="G23" s="90" t="s">
        <v>1498</v>
      </c>
      <c r="H23" s="94" t="s">
        <v>1499</v>
      </c>
      <c r="I23" s="91">
        <v>1</v>
      </c>
      <c r="J23" s="91">
        <f t="shared" si="0"/>
        <v>3</v>
      </c>
      <c r="K23" s="92" t="s">
        <v>1380</v>
      </c>
      <c r="L23" s="110"/>
      <c r="M23" s="95">
        <v>784778022</v>
      </c>
      <c r="N23" s="114">
        <v>3</v>
      </c>
    </row>
    <row r="24" spans="1:14">
      <c r="A24" s="86">
        <v>23</v>
      </c>
      <c r="B24" s="98" t="s">
        <v>1500</v>
      </c>
      <c r="C24" s="98" t="s">
        <v>1501</v>
      </c>
      <c r="D24" s="98" t="s">
        <v>1501</v>
      </c>
      <c r="E24" s="90" t="s">
        <v>1502</v>
      </c>
      <c r="F24" s="90" t="s">
        <v>1503</v>
      </c>
      <c r="G24" s="90" t="s">
        <v>1504</v>
      </c>
      <c r="H24" s="90" t="s">
        <v>1505</v>
      </c>
      <c r="I24" s="91">
        <v>1</v>
      </c>
      <c r="J24" s="91">
        <f t="shared" si="0"/>
        <v>3</v>
      </c>
      <c r="K24" s="92" t="s">
        <v>1380</v>
      </c>
      <c r="L24" s="110"/>
      <c r="M24" s="98" t="s">
        <v>1501</v>
      </c>
      <c r="N24" s="114">
        <v>3</v>
      </c>
    </row>
    <row r="25" spans="1:14">
      <c r="A25" s="86">
        <v>24</v>
      </c>
      <c r="B25" s="94" t="s">
        <v>1506</v>
      </c>
      <c r="C25" s="94" t="s">
        <v>1507</v>
      </c>
      <c r="D25" s="96" t="s">
        <v>1507</v>
      </c>
      <c r="E25" s="90" t="s">
        <v>1508</v>
      </c>
      <c r="F25" s="90" t="s">
        <v>1509</v>
      </c>
      <c r="G25" s="90" t="s">
        <v>1510</v>
      </c>
      <c r="H25" s="94" t="s">
        <v>1461</v>
      </c>
      <c r="I25" s="91">
        <v>1</v>
      </c>
      <c r="J25" s="91">
        <f t="shared" si="0"/>
        <v>3</v>
      </c>
      <c r="K25" s="92" t="s">
        <v>1380</v>
      </c>
      <c r="L25" s="110"/>
      <c r="M25" s="94" t="s">
        <v>1507</v>
      </c>
      <c r="N25" s="114">
        <v>3</v>
      </c>
    </row>
    <row r="26" spans="1:14">
      <c r="A26" s="86">
        <v>25</v>
      </c>
      <c r="B26" s="86"/>
      <c r="C26" s="86" t="s">
        <v>1511</v>
      </c>
      <c r="D26" s="90" t="s">
        <v>1512</v>
      </c>
      <c r="E26" s="90" t="s">
        <v>1513</v>
      </c>
      <c r="F26" s="90" t="s">
        <v>1514</v>
      </c>
      <c r="G26" s="90" t="s">
        <v>638</v>
      </c>
      <c r="H26" s="90" t="s">
        <v>1435</v>
      </c>
      <c r="I26" s="91">
        <v>2</v>
      </c>
      <c r="J26" s="91">
        <f t="shared" si="0"/>
        <v>6</v>
      </c>
      <c r="K26" s="92" t="s">
        <v>1380</v>
      </c>
      <c r="L26" s="110"/>
      <c r="M26" s="86" t="s">
        <v>1511</v>
      </c>
      <c r="N26" s="114">
        <v>150</v>
      </c>
    </row>
    <row r="27" spans="1:14">
      <c r="A27" s="86">
        <v>26</v>
      </c>
      <c r="B27" s="86"/>
      <c r="C27" s="86" t="s">
        <v>1515</v>
      </c>
      <c r="D27" s="90" t="s">
        <v>1516</v>
      </c>
      <c r="E27" s="90" t="s">
        <v>1517</v>
      </c>
      <c r="F27" s="90" t="s">
        <v>1518</v>
      </c>
      <c r="G27" s="90" t="s">
        <v>638</v>
      </c>
      <c r="H27" s="90" t="s">
        <v>1435</v>
      </c>
      <c r="I27" s="91">
        <v>2</v>
      </c>
      <c r="J27" s="91">
        <f t="shared" si="0"/>
        <v>6</v>
      </c>
      <c r="K27" s="92" t="s">
        <v>1380</v>
      </c>
      <c r="L27" s="110"/>
      <c r="M27" s="86" t="s">
        <v>1515</v>
      </c>
      <c r="N27" s="114">
        <v>150</v>
      </c>
    </row>
    <row r="28" spans="1:14">
      <c r="A28" s="86">
        <v>27</v>
      </c>
      <c r="B28" s="98" t="s">
        <v>1519</v>
      </c>
      <c r="C28" s="98" t="s">
        <v>1520</v>
      </c>
      <c r="D28" s="90" t="s">
        <v>1521</v>
      </c>
      <c r="E28" s="90" t="s">
        <v>1522</v>
      </c>
      <c r="F28" s="90" t="s">
        <v>1523</v>
      </c>
      <c r="G28" s="90" t="s">
        <v>638</v>
      </c>
      <c r="H28" s="90" t="s">
        <v>1524</v>
      </c>
      <c r="I28" s="91">
        <v>1</v>
      </c>
      <c r="J28" s="91">
        <f t="shared" si="0"/>
        <v>3</v>
      </c>
      <c r="K28" s="92" t="s">
        <v>1380</v>
      </c>
      <c r="L28" s="110"/>
      <c r="M28" s="113" t="s">
        <v>1635</v>
      </c>
      <c r="N28" s="114">
        <v>10</v>
      </c>
    </row>
    <row r="29" spans="1:14">
      <c r="A29" s="86">
        <v>28</v>
      </c>
      <c r="B29" s="94" t="s">
        <v>1525</v>
      </c>
      <c r="C29" s="94" t="s">
        <v>1526</v>
      </c>
      <c r="D29" s="90" t="s">
        <v>1527</v>
      </c>
      <c r="E29" s="90" t="s">
        <v>1528</v>
      </c>
      <c r="F29" s="90" t="s">
        <v>1529</v>
      </c>
      <c r="G29" s="90" t="s">
        <v>638</v>
      </c>
      <c r="H29" s="90" t="s">
        <v>1524</v>
      </c>
      <c r="I29" s="91">
        <v>1</v>
      </c>
      <c r="J29" s="91">
        <f t="shared" si="0"/>
        <v>3</v>
      </c>
      <c r="K29" s="92" t="s">
        <v>1380</v>
      </c>
      <c r="L29" s="110"/>
      <c r="M29" s="113" t="s">
        <v>1636</v>
      </c>
      <c r="N29" s="114">
        <v>5</v>
      </c>
    </row>
    <row r="30" spans="1:14">
      <c r="A30" s="86">
        <v>29</v>
      </c>
      <c r="B30" s="98" t="s">
        <v>1530</v>
      </c>
      <c r="C30" s="98" t="s">
        <v>1531</v>
      </c>
      <c r="D30" s="99" t="s">
        <v>1532</v>
      </c>
      <c r="E30" s="90" t="s">
        <v>1533</v>
      </c>
      <c r="F30" s="90" t="s">
        <v>1534</v>
      </c>
      <c r="G30" s="90" t="s">
        <v>449</v>
      </c>
      <c r="H30" s="90" t="s">
        <v>1524</v>
      </c>
      <c r="I30" s="91">
        <v>2</v>
      </c>
      <c r="J30" s="91">
        <f t="shared" si="0"/>
        <v>6</v>
      </c>
      <c r="K30" s="92" t="s">
        <v>1380</v>
      </c>
      <c r="L30" s="110"/>
      <c r="M30" s="113" t="s">
        <v>1637</v>
      </c>
      <c r="N30" s="114">
        <v>10</v>
      </c>
    </row>
    <row r="31" spans="1:14">
      <c r="A31" s="86">
        <v>30</v>
      </c>
      <c r="B31" s="94" t="s">
        <v>1535</v>
      </c>
      <c r="C31" s="94" t="s">
        <v>1536</v>
      </c>
      <c r="D31" s="90" t="s">
        <v>1537</v>
      </c>
      <c r="E31" s="90" t="s">
        <v>1538</v>
      </c>
      <c r="F31" s="90" t="s">
        <v>1539</v>
      </c>
      <c r="G31" s="90" t="s">
        <v>449</v>
      </c>
      <c r="H31" s="90" t="s">
        <v>1524</v>
      </c>
      <c r="I31" s="91">
        <v>1</v>
      </c>
      <c r="J31" s="91">
        <f t="shared" si="0"/>
        <v>3</v>
      </c>
      <c r="K31" s="92" t="s">
        <v>1380</v>
      </c>
      <c r="L31" s="110"/>
      <c r="M31" s="94" t="s">
        <v>1536</v>
      </c>
      <c r="N31" s="114">
        <v>10</v>
      </c>
    </row>
    <row r="32" spans="1:14">
      <c r="A32" s="86">
        <v>31</v>
      </c>
      <c r="B32" s="98" t="s">
        <v>1540</v>
      </c>
      <c r="C32" s="98" t="s">
        <v>1541</v>
      </c>
      <c r="D32" s="90" t="s">
        <v>1542</v>
      </c>
      <c r="E32" s="90" t="s">
        <v>1543</v>
      </c>
      <c r="F32" s="90" t="s">
        <v>1544</v>
      </c>
      <c r="G32" s="90" t="s">
        <v>449</v>
      </c>
      <c r="H32" s="90" t="s">
        <v>1524</v>
      </c>
      <c r="I32" s="91">
        <v>1</v>
      </c>
      <c r="J32" s="91">
        <f t="shared" si="0"/>
        <v>3</v>
      </c>
      <c r="K32" s="92" t="s">
        <v>1380</v>
      </c>
      <c r="L32" s="110"/>
      <c r="M32" s="113" t="s">
        <v>1638</v>
      </c>
      <c r="N32" s="114">
        <v>30</v>
      </c>
    </row>
    <row r="33" spans="1:14">
      <c r="A33" s="86">
        <v>32</v>
      </c>
      <c r="B33" s="94" t="s">
        <v>1545</v>
      </c>
      <c r="C33" s="94" t="s">
        <v>1639</v>
      </c>
      <c r="D33" s="90" t="s">
        <v>1546</v>
      </c>
      <c r="E33" s="90" t="s">
        <v>1547</v>
      </c>
      <c r="F33" s="90" t="s">
        <v>1548</v>
      </c>
      <c r="G33" s="90" t="s">
        <v>449</v>
      </c>
      <c r="H33" s="90" t="s">
        <v>1524</v>
      </c>
      <c r="I33" s="91">
        <v>2</v>
      </c>
      <c r="J33" s="91">
        <f t="shared" si="0"/>
        <v>6</v>
      </c>
      <c r="K33" s="92" t="s">
        <v>1380</v>
      </c>
      <c r="L33" s="110"/>
      <c r="M33" s="113" t="s">
        <v>1639</v>
      </c>
      <c r="N33" s="114">
        <v>10</v>
      </c>
    </row>
    <row r="34" spans="1:14">
      <c r="A34" s="86">
        <v>33</v>
      </c>
      <c r="B34" s="98" t="s">
        <v>1549</v>
      </c>
      <c r="C34" s="98" t="s">
        <v>1550</v>
      </c>
      <c r="D34" s="90" t="s">
        <v>1551</v>
      </c>
      <c r="E34" s="90" t="s">
        <v>1552</v>
      </c>
      <c r="F34" s="90" t="s">
        <v>1553</v>
      </c>
      <c r="G34" s="90" t="s">
        <v>449</v>
      </c>
      <c r="H34" s="90" t="s">
        <v>1524</v>
      </c>
      <c r="I34" s="91">
        <v>1</v>
      </c>
      <c r="J34" s="91">
        <f t="shared" si="0"/>
        <v>3</v>
      </c>
      <c r="K34" s="92" t="s">
        <v>1380</v>
      </c>
      <c r="L34" s="110"/>
      <c r="M34" s="113" t="s">
        <v>1640</v>
      </c>
      <c r="N34" s="114">
        <v>20</v>
      </c>
    </row>
    <row r="35" spans="1:14">
      <c r="A35" s="86">
        <v>34</v>
      </c>
      <c r="B35" s="94" t="s">
        <v>1554</v>
      </c>
      <c r="C35" s="94" t="s">
        <v>1555</v>
      </c>
      <c r="D35" s="90" t="s">
        <v>1556</v>
      </c>
      <c r="E35" s="90" t="s">
        <v>1557</v>
      </c>
      <c r="F35" s="90" t="s">
        <v>1558</v>
      </c>
      <c r="G35" s="90" t="s">
        <v>449</v>
      </c>
      <c r="H35" s="90" t="s">
        <v>1524</v>
      </c>
      <c r="I35" s="91">
        <v>4</v>
      </c>
      <c r="J35" s="91">
        <f t="shared" si="0"/>
        <v>12</v>
      </c>
      <c r="K35" s="92" t="s">
        <v>1380</v>
      </c>
      <c r="L35" s="110"/>
      <c r="M35" s="113" t="s">
        <v>1641</v>
      </c>
      <c r="N35" s="114">
        <v>20</v>
      </c>
    </row>
    <row r="36" spans="1:14">
      <c r="A36" s="86">
        <v>35</v>
      </c>
      <c r="B36" s="98" t="s">
        <v>1559</v>
      </c>
      <c r="C36" s="98" t="s">
        <v>1560</v>
      </c>
      <c r="D36" s="90" t="s">
        <v>1561</v>
      </c>
      <c r="E36" s="90" t="s">
        <v>1562</v>
      </c>
      <c r="F36" s="90" t="s">
        <v>1563</v>
      </c>
      <c r="G36" s="90" t="s">
        <v>626</v>
      </c>
      <c r="H36" s="90" t="s">
        <v>1435</v>
      </c>
      <c r="I36" s="91">
        <v>1</v>
      </c>
      <c r="J36" s="91">
        <f t="shared" si="0"/>
        <v>3</v>
      </c>
      <c r="K36" s="92" t="s">
        <v>1380</v>
      </c>
      <c r="L36" s="110"/>
      <c r="M36" s="113" t="s">
        <v>1560</v>
      </c>
      <c r="N36" s="114" t="s">
        <v>1632</v>
      </c>
    </row>
    <row r="37" spans="1:14">
      <c r="A37" s="86">
        <v>36</v>
      </c>
      <c r="B37" s="94" t="s">
        <v>1564</v>
      </c>
      <c r="C37" s="94" t="s">
        <v>1565</v>
      </c>
      <c r="D37" s="90" t="s">
        <v>1566</v>
      </c>
      <c r="E37" s="90" t="s">
        <v>1567</v>
      </c>
      <c r="F37" s="90" t="s">
        <v>1568</v>
      </c>
      <c r="G37" s="90" t="s">
        <v>626</v>
      </c>
      <c r="H37" s="90" t="s">
        <v>1435</v>
      </c>
      <c r="I37" s="91">
        <v>1</v>
      </c>
      <c r="J37" s="91">
        <f t="shared" si="0"/>
        <v>3</v>
      </c>
      <c r="K37" s="92" t="s">
        <v>1380</v>
      </c>
      <c r="L37" s="110"/>
      <c r="M37" s="113" t="s">
        <v>1565</v>
      </c>
      <c r="N37" s="114" t="s">
        <v>1632</v>
      </c>
    </row>
    <row r="38" spans="1:14">
      <c r="A38" s="86">
        <v>37</v>
      </c>
      <c r="B38" s="98" t="s">
        <v>1569</v>
      </c>
      <c r="C38" s="98" t="s">
        <v>1570</v>
      </c>
      <c r="D38" s="90" t="s">
        <v>1571</v>
      </c>
      <c r="E38" s="90" t="s">
        <v>1572</v>
      </c>
      <c r="F38" s="90" t="s">
        <v>1573</v>
      </c>
      <c r="G38" s="90" t="s">
        <v>626</v>
      </c>
      <c r="H38" s="90" t="s">
        <v>1435</v>
      </c>
      <c r="I38" s="91">
        <v>5</v>
      </c>
      <c r="J38" s="91">
        <f t="shared" si="0"/>
        <v>15</v>
      </c>
      <c r="K38" s="92" t="s">
        <v>1380</v>
      </c>
      <c r="L38" s="110"/>
      <c r="M38" s="113" t="s">
        <v>1570</v>
      </c>
      <c r="N38" s="114">
        <v>26</v>
      </c>
    </row>
    <row r="39" spans="1:14">
      <c r="A39" s="86">
        <v>38</v>
      </c>
      <c r="B39" s="94" t="s">
        <v>1574</v>
      </c>
      <c r="C39" s="94" t="s">
        <v>1575</v>
      </c>
      <c r="D39" s="90" t="s">
        <v>1576</v>
      </c>
      <c r="E39" s="90" t="s">
        <v>1577</v>
      </c>
      <c r="F39" s="90" t="s">
        <v>1578</v>
      </c>
      <c r="G39" s="90" t="s">
        <v>626</v>
      </c>
      <c r="H39" s="90" t="s">
        <v>1524</v>
      </c>
      <c r="I39" s="91">
        <v>1</v>
      </c>
      <c r="J39" s="91">
        <f t="shared" si="0"/>
        <v>3</v>
      </c>
      <c r="K39" s="92" t="s">
        <v>1380</v>
      </c>
      <c r="L39" s="110"/>
      <c r="M39" s="113" t="s">
        <v>1575</v>
      </c>
      <c r="N39" s="114">
        <v>11</v>
      </c>
    </row>
    <row r="40" spans="1:14">
      <c r="A40" s="86">
        <v>39</v>
      </c>
      <c r="B40" s="94" t="s">
        <v>1579</v>
      </c>
      <c r="C40" s="94" t="s">
        <v>1580</v>
      </c>
      <c r="D40" s="90" t="s">
        <v>1581</v>
      </c>
      <c r="E40" s="90" t="s">
        <v>1582</v>
      </c>
      <c r="F40" s="90" t="s">
        <v>1583</v>
      </c>
      <c r="G40" s="90" t="s">
        <v>626</v>
      </c>
      <c r="H40" s="90" t="s">
        <v>1435</v>
      </c>
      <c r="I40" s="91">
        <v>1</v>
      </c>
      <c r="J40" s="91">
        <f t="shared" si="0"/>
        <v>3</v>
      </c>
      <c r="K40" s="92" t="s">
        <v>1380</v>
      </c>
      <c r="L40" s="110"/>
      <c r="M40" s="113" t="s">
        <v>1642</v>
      </c>
      <c r="N40" s="114">
        <v>10</v>
      </c>
    </row>
    <row r="41" spans="1:14">
      <c r="A41" s="86">
        <v>40</v>
      </c>
      <c r="B41" s="94" t="s">
        <v>1584</v>
      </c>
      <c r="C41" s="94" t="s">
        <v>1585</v>
      </c>
      <c r="D41" s="90" t="s">
        <v>1586</v>
      </c>
      <c r="E41" s="90" t="s">
        <v>1587</v>
      </c>
      <c r="F41" s="90" t="s">
        <v>1588</v>
      </c>
      <c r="G41" s="90" t="s">
        <v>626</v>
      </c>
      <c r="H41" s="90" t="s">
        <v>1435</v>
      </c>
      <c r="I41" s="91">
        <v>5</v>
      </c>
      <c r="J41" s="91">
        <f t="shared" si="0"/>
        <v>15</v>
      </c>
      <c r="K41" s="92" t="s">
        <v>1380</v>
      </c>
      <c r="L41" s="110"/>
      <c r="M41" s="113" t="s">
        <v>1643</v>
      </c>
      <c r="N41" s="114">
        <v>26</v>
      </c>
    </row>
    <row r="42" spans="1:14">
      <c r="A42" s="86">
        <v>41</v>
      </c>
      <c r="B42" s="98" t="s">
        <v>1589</v>
      </c>
      <c r="C42" s="98" t="s">
        <v>1590</v>
      </c>
      <c r="D42" s="90" t="s">
        <v>1591</v>
      </c>
      <c r="E42" s="90" t="s">
        <v>1592</v>
      </c>
      <c r="F42" s="90" t="s">
        <v>1593</v>
      </c>
      <c r="G42" s="90" t="s">
        <v>449</v>
      </c>
      <c r="H42" s="90" t="s">
        <v>1524</v>
      </c>
      <c r="I42" s="91">
        <v>1</v>
      </c>
      <c r="J42" s="91">
        <f t="shared" si="0"/>
        <v>3</v>
      </c>
      <c r="K42" s="92" t="s">
        <v>1380</v>
      </c>
      <c r="L42" s="110"/>
      <c r="M42" s="113" t="s">
        <v>1644</v>
      </c>
      <c r="N42" s="114">
        <v>20</v>
      </c>
    </row>
    <row r="43" spans="1:14">
      <c r="A43" s="86">
        <v>42</v>
      </c>
      <c r="B43" s="94" t="s">
        <v>1594</v>
      </c>
      <c r="C43" s="94" t="s">
        <v>1645</v>
      </c>
      <c r="D43" s="90" t="s">
        <v>1595</v>
      </c>
      <c r="E43" s="90" t="s">
        <v>1596</v>
      </c>
      <c r="F43" s="90" t="s">
        <v>1597</v>
      </c>
      <c r="G43" s="90" t="s">
        <v>626</v>
      </c>
      <c r="H43" s="90" t="s">
        <v>1435</v>
      </c>
      <c r="I43" s="91">
        <v>2</v>
      </c>
      <c r="J43" s="91">
        <f t="shared" si="0"/>
        <v>6</v>
      </c>
      <c r="K43" s="92" t="s">
        <v>1380</v>
      </c>
      <c r="L43" s="110"/>
      <c r="M43" s="113" t="s">
        <v>1645</v>
      </c>
      <c r="N43" s="114">
        <v>15</v>
      </c>
    </row>
    <row r="44" spans="1:14">
      <c r="A44" s="86">
        <v>43</v>
      </c>
      <c r="B44" s="98" t="s">
        <v>1598</v>
      </c>
      <c r="C44" s="98" t="s">
        <v>1599</v>
      </c>
      <c r="D44" s="90" t="s">
        <v>1600</v>
      </c>
      <c r="E44" s="90" t="s">
        <v>1601</v>
      </c>
      <c r="F44" s="90" t="s">
        <v>1602</v>
      </c>
      <c r="G44" s="90" t="s">
        <v>626</v>
      </c>
      <c r="H44" s="90" t="s">
        <v>1435</v>
      </c>
      <c r="I44" s="91">
        <v>1</v>
      </c>
      <c r="J44" s="91">
        <f t="shared" si="0"/>
        <v>3</v>
      </c>
      <c r="K44" s="92" t="s">
        <v>1380</v>
      </c>
      <c r="L44" s="110"/>
      <c r="M44" s="113" t="s">
        <v>1646</v>
      </c>
      <c r="N44" s="114">
        <v>10</v>
      </c>
    </row>
    <row r="45" spans="1:14">
      <c r="A45" s="86">
        <v>44</v>
      </c>
      <c r="B45" s="101" t="s">
        <v>1315</v>
      </c>
      <c r="C45" s="101" t="s">
        <v>1316</v>
      </c>
      <c r="D45" s="102" t="s">
        <v>1316</v>
      </c>
      <c r="E45" s="102" t="s">
        <v>1317</v>
      </c>
      <c r="F45" s="102" t="s">
        <v>1318</v>
      </c>
      <c r="G45" s="102" t="s">
        <v>1319</v>
      </c>
      <c r="H45" s="102" t="s">
        <v>1505</v>
      </c>
      <c r="I45" s="103">
        <v>1</v>
      </c>
      <c r="J45" s="103">
        <f t="shared" si="0"/>
        <v>3</v>
      </c>
      <c r="K45" s="102" t="s">
        <v>1603</v>
      </c>
      <c r="L45" s="110"/>
      <c r="M45" s="115" t="s">
        <v>1316</v>
      </c>
      <c r="N45" s="114">
        <v>3</v>
      </c>
    </row>
    <row r="46" spans="1:14">
      <c r="A46" s="86">
        <v>45</v>
      </c>
      <c r="B46" s="94" t="s">
        <v>1604</v>
      </c>
      <c r="C46" s="94" t="s">
        <v>1605</v>
      </c>
      <c r="D46" s="90" t="s">
        <v>1605</v>
      </c>
      <c r="E46" s="90" t="s">
        <v>1606</v>
      </c>
      <c r="F46" s="90" t="s">
        <v>1607</v>
      </c>
      <c r="G46" s="90" t="s">
        <v>1608</v>
      </c>
      <c r="H46" s="90" t="s">
        <v>1609</v>
      </c>
      <c r="I46" s="91">
        <v>1</v>
      </c>
      <c r="J46" s="91">
        <f t="shared" si="0"/>
        <v>3</v>
      </c>
      <c r="K46" s="92" t="s">
        <v>1380</v>
      </c>
      <c r="L46" s="110"/>
      <c r="M46" s="113" t="s">
        <v>1605</v>
      </c>
      <c r="N46" s="114">
        <v>3</v>
      </c>
    </row>
    <row r="47" spans="1:14">
      <c r="A47" s="86">
        <v>46</v>
      </c>
      <c r="B47" s="98" t="s">
        <v>1610</v>
      </c>
      <c r="C47" s="98" t="s">
        <v>1611</v>
      </c>
      <c r="D47" s="90" t="s">
        <v>1611</v>
      </c>
      <c r="E47" s="90" t="s">
        <v>1612</v>
      </c>
      <c r="F47" s="90" t="s">
        <v>1613</v>
      </c>
      <c r="G47" s="90" t="s">
        <v>1614</v>
      </c>
      <c r="H47" s="90" t="s">
        <v>1609</v>
      </c>
      <c r="I47" s="91">
        <v>1</v>
      </c>
      <c r="J47" s="91">
        <f t="shared" si="0"/>
        <v>3</v>
      </c>
      <c r="K47" s="92" t="s">
        <v>1380</v>
      </c>
      <c r="L47" s="110"/>
      <c r="M47" s="113" t="s">
        <v>1611</v>
      </c>
      <c r="N47" s="114">
        <v>3</v>
      </c>
    </row>
    <row r="48" spans="1:14">
      <c r="A48" s="86">
        <v>47</v>
      </c>
      <c r="B48" s="98" t="s">
        <v>1615</v>
      </c>
      <c r="C48" s="98" t="s">
        <v>1647</v>
      </c>
      <c r="D48" s="90" t="s">
        <v>1616</v>
      </c>
      <c r="E48" s="90" t="s">
        <v>1617</v>
      </c>
      <c r="F48" s="90" t="s">
        <v>1618</v>
      </c>
      <c r="G48" s="90" t="s">
        <v>1619</v>
      </c>
      <c r="H48" s="90" t="s">
        <v>1620</v>
      </c>
      <c r="I48" s="91">
        <v>1</v>
      </c>
      <c r="J48" s="91">
        <f t="shared" si="0"/>
        <v>3</v>
      </c>
      <c r="K48" s="92" t="s">
        <v>1380</v>
      </c>
      <c r="L48" s="110"/>
      <c r="M48" s="113" t="s">
        <v>1647</v>
      </c>
      <c r="N48" s="114">
        <v>3</v>
      </c>
    </row>
  </sheetData>
  <autoFilter ref="A1:N1" xr:uid="{8C96C356-30B4-944A-B308-CFD9C362F8E0}"/>
  <phoneticPr fontId="2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5030-1A20-BB42-A50B-48BA817438D0}">
  <dimension ref="A1:P3"/>
  <sheetViews>
    <sheetView tabSelected="1" zoomScale="132" zoomScaleNormal="132" workbookViewId="0">
      <selection activeCell="F23" sqref="F23"/>
    </sheetView>
  </sheetViews>
  <sheetFormatPr baseColWidth="10" defaultRowHeight="15"/>
  <cols>
    <col min="1" max="1" width="4.1640625" customWidth="1"/>
    <col min="2" max="2" width="13.83203125" bestFit="1" customWidth="1"/>
    <col min="3" max="3" width="15.6640625" bestFit="1" customWidth="1"/>
    <col min="4" max="4" width="16.83203125" bestFit="1" customWidth="1"/>
    <col min="5" max="5" width="46.33203125" customWidth="1"/>
    <col min="6" max="6" width="38.1640625" customWidth="1"/>
    <col min="7" max="7" width="12" customWidth="1"/>
    <col min="8" max="8" width="6" customWidth="1"/>
    <col min="9" max="9" width="6.33203125" customWidth="1"/>
    <col min="10" max="10" width="10" customWidth="1"/>
    <col min="11" max="11" width="7.5" customWidth="1"/>
    <col min="12" max="12" width="29.33203125" customWidth="1"/>
    <col min="15" max="15" width="13.33203125" bestFit="1" customWidth="1"/>
    <col min="16" max="16" width="12.6640625" bestFit="1" customWidth="1"/>
  </cols>
  <sheetData>
    <row r="1" spans="1:16">
      <c r="A1" s="39" t="s">
        <v>7</v>
      </c>
      <c r="B1" s="39" t="s">
        <v>8</v>
      </c>
      <c r="C1" s="39" t="s">
        <v>9</v>
      </c>
      <c r="D1" s="39" t="s">
        <v>10</v>
      </c>
      <c r="E1" s="39" t="s">
        <v>11</v>
      </c>
      <c r="F1" s="39" t="s">
        <v>12</v>
      </c>
      <c r="G1" s="39" t="s">
        <v>13</v>
      </c>
      <c r="H1" s="39" t="s">
        <v>14</v>
      </c>
      <c r="I1" s="39" t="s">
        <v>15</v>
      </c>
      <c r="J1" s="40" t="s">
        <v>16</v>
      </c>
      <c r="K1" s="39" t="s">
        <v>18</v>
      </c>
      <c r="L1" s="40" t="s">
        <v>20</v>
      </c>
      <c r="M1" s="13" t="s">
        <v>21</v>
      </c>
      <c r="N1" s="13"/>
      <c r="O1" s="50" t="s">
        <v>1232</v>
      </c>
      <c r="P1" s="50" t="s">
        <v>1233</v>
      </c>
    </row>
    <row r="2" spans="1:16">
      <c r="A2" s="22">
        <v>1</v>
      </c>
      <c r="B2" s="105" t="s">
        <v>1358</v>
      </c>
      <c r="C2" s="106" t="s">
        <v>1065</v>
      </c>
      <c r="D2" s="106" t="s">
        <v>1359</v>
      </c>
      <c r="E2" s="106" t="s">
        <v>1365</v>
      </c>
      <c r="F2" s="107" t="s">
        <v>1360</v>
      </c>
      <c r="G2" s="108" t="s">
        <v>1069</v>
      </c>
      <c r="H2" s="108">
        <v>1</v>
      </c>
      <c r="I2" s="104" t="s">
        <v>81</v>
      </c>
      <c r="J2" s="25"/>
      <c r="K2" s="39"/>
      <c r="L2" s="39"/>
      <c r="M2" s="109"/>
      <c r="N2" s="32"/>
      <c r="O2" s="39" t="s">
        <v>1281</v>
      </c>
      <c r="P2" s="112" t="s">
        <v>1627</v>
      </c>
    </row>
    <row r="3" spans="1:16">
      <c r="A3" s="22">
        <v>2</v>
      </c>
      <c r="B3" s="22"/>
      <c r="C3" s="39" t="s">
        <v>1621</v>
      </c>
      <c r="D3" s="39" t="s">
        <v>1621</v>
      </c>
      <c r="E3" s="39" t="s">
        <v>1622</v>
      </c>
      <c r="F3" s="39"/>
      <c r="G3" s="39"/>
      <c r="H3" s="25">
        <v>1</v>
      </c>
      <c r="I3" s="25" t="s">
        <v>1306</v>
      </c>
      <c r="J3" s="25">
        <v>3</v>
      </c>
      <c r="K3" s="39"/>
      <c r="L3" s="39"/>
      <c r="M3" s="109"/>
      <c r="N3" s="32"/>
      <c r="O3" s="39" t="s">
        <v>1621</v>
      </c>
      <c r="P3" s="56">
        <v>10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OBC+WPT MB PCBA BOM</vt:lpstr>
      <vt:lpstr>IMN PCBA BOM</vt:lpstr>
      <vt:lpstr>PMU PCBA EE BOM</vt:lpstr>
      <vt:lpstr>PB PCBA EE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2023-05-19T05:31:00Z</dcterms:created>
  <dcterms:modified xsi:type="dcterms:W3CDTF">2023-06-20T10:18:25Z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CADD7DF1458141D1927492E24C27E749_12</vt:lpwstr>
  </property>
  <property fmtid="{D5CDD505-2E9C-101B-9397-08002B2CF9AE}" pid="3" name="KSOProductBuildVer">
    <vt:lpwstr>2052-11.1.0.14309</vt:lpwstr>
  </property>
</Properties>
</file>